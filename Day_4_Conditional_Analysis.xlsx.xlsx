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6"/>
  <workbookPr defaultThemeVersion="166925"/>
  <mc:AlternateContent xmlns:mc="http://schemas.openxmlformats.org/markup-compatibility/2006">
    <mc:Choice Requires="x15">
      <x15ac:absPath xmlns:x15ac="http://schemas.microsoft.com/office/spreadsheetml/2010/11/ac" url="D:\working\waccache\SG2PEPF000E4FA4\EXCELCNV\1cbdd7c7-e5a3-4c6d-b771-f891313a0398\"/>
    </mc:Choice>
  </mc:AlternateContent>
  <xr:revisionPtr revIDLastSave="936" documentId="8_{BC3B4247-2E4E-4432-B1ED-0B49AA8D8100}" xr6:coauthVersionLast="47" xr6:coauthVersionMax="47" xr10:uidLastSave="{785A2864-080F-4766-801C-5AB908BB696F}"/>
  <bookViews>
    <workbookView xWindow="-60" yWindow="-60" windowWidth="15480" windowHeight="11640" firstSheet="3" activeTab="4" xr2:uid="{612CD5F7-FAF1-4153-9505-E5C614A077CE}"/>
  </bookViews>
  <sheets>
    <sheet name="Raw_Data" sheetId="1" r:id="rId1"/>
    <sheet name="Day3_Practice" sheetId="2" r:id="rId2"/>
    <sheet name="Day3_Summary" sheetId="3" r:id="rId3"/>
    <sheet name="DATA" sheetId="4" r:id="rId4"/>
    <sheet name="ANALYSIS"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9" i="4" l="1"/>
  <c r="C6" i="5"/>
  <c r="C3" i="5"/>
  <c r="C8" i="5"/>
  <c r="C7" i="5"/>
  <c r="C5" i="5"/>
  <c r="C4" i="5"/>
  <c r="M42" i="4"/>
  <c r="M40" i="4" a="1"/>
  <c r="M39" i="4" a="1"/>
  <c r="M38" i="4" a="1"/>
  <c r="M36" i="4"/>
  <c r="F42" i="4"/>
  <c r="F41" i="4"/>
  <c r="F39" i="4"/>
  <c r="F36" i="4"/>
  <c r="M27" i="4"/>
  <c r="M25" i="4"/>
  <c r="M23" i="4"/>
  <c r="M20" i="4"/>
  <c r="M11" i="4"/>
  <c r="M7" i="4"/>
  <c r="M6" i="4"/>
  <c r="M5" i="4"/>
  <c r="F26" i="4"/>
  <c r="F24" i="4"/>
  <c r="F22" i="4"/>
  <c r="F20" i="4"/>
  <c r="F19" i="4"/>
  <c r="B7" i="3"/>
  <c r="B6" i="3"/>
  <c r="B5" i="3"/>
  <c r="B4" i="3"/>
  <c r="B3" i="3"/>
  <c r="B2" i="3"/>
  <c r="E3" i="2"/>
  <c r="E4" i="2"/>
  <c r="E5" i="2"/>
  <c r="E6" i="2"/>
  <c r="E7" i="2"/>
  <c r="E8" i="2"/>
  <c r="E9" i="2"/>
  <c r="E10" i="2"/>
  <c r="E11" i="2"/>
  <c r="E12" i="2"/>
  <c r="E13" i="2"/>
  <c r="E2" i="2"/>
  <c r="I5" i="2"/>
  <c r="I9" i="2"/>
  <c r="I8" i="2"/>
  <c r="I7" i="2"/>
  <c r="I6" i="2"/>
  <c r="I4" i="2"/>
  <c r="A20" i="1"/>
  <c r="A19" i="1"/>
  <c r="A18" i="1"/>
  <c r="A17"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<sst xmlns="http://schemas.openxmlformats.org/spreadsheetml/2006/main" count="214" uniqueCount="163">
  <si>
    <t>Illustrative Area</t>
  </si>
  <si>
    <t>Year</t>
  </si>
  <si>
    <t>Internet Access (%)</t>
  </si>
  <si>
    <t>Fixed Broadband Subscriptions (per 100 people)</t>
  </si>
  <si>
    <t>Mobile Internet Use (%)</t>
  </si>
  <si>
    <t>Households Using Digital Services (%)</t>
  </si>
  <si>
    <t>Column1</t>
  </si>
  <si>
    <t>Central Sample</t>
  </si>
  <si>
    <t>hjpj,</t>
  </si>
  <si>
    <t>North Sample</t>
  </si>
  <si>
    <t>River Sample</t>
  </si>
  <si>
    <t>Coastal Sample</t>
  </si>
  <si>
    <t>DATA STATUS:</t>
  </si>
  <si>
    <t>SYNTHETIC / ILLUSTRATIVE — NOT OFFICIAL DATA</t>
  </si>
  <si>
    <t>formulas</t>
  </si>
  <si>
    <t>Number of nonblank area labels</t>
  </si>
  <si>
    <t>Number of numeric years</t>
  </si>
  <si>
    <t>Minimum access value</t>
  </si>
  <si>
    <t>Maximum access value</t>
  </si>
  <si>
    <t>Household_ID</t>
  </si>
  <si>
    <t>Monthly_Income_BDT</t>
  </si>
  <si>
    <t>Internet_Hours_Weekly</t>
  </si>
  <si>
    <t>Internet_Expense_BDT</t>
  </si>
  <si>
    <t>Income_Category</t>
  </si>
  <si>
    <t>H001</t>
  </si>
  <si>
    <t>H002</t>
  </si>
  <si>
    <t>Functions</t>
  </si>
  <si>
    <t>Result</t>
  </si>
  <si>
    <t>Purpose</t>
  </si>
  <si>
    <t>H003</t>
  </si>
  <si>
    <t>SUM</t>
  </si>
  <si>
    <t>Add all numerical values together.</t>
  </si>
  <si>
    <t>H004</t>
  </si>
  <si>
    <t>AVERAGE</t>
  </si>
  <si>
    <t>Calculate the arithmetic mean.</t>
  </si>
  <si>
    <t>H005</t>
  </si>
  <si>
    <t>COUNT</t>
  </si>
  <si>
    <t>Count cells containing numerical values.</t>
  </si>
  <si>
    <t>H006</t>
  </si>
  <si>
    <t>MIN</t>
  </si>
  <si>
    <t>Find the smallest numerical value.</t>
  </si>
  <si>
    <t>H007</t>
  </si>
  <si>
    <t>MAX</t>
  </si>
  <si>
    <t>Find the largest numerical value.</t>
  </si>
  <si>
    <t>H008</t>
  </si>
  <si>
    <t>MEDIAN</t>
  </si>
  <si>
    <t>Find the middle value after sorting the observations.</t>
  </si>
  <si>
    <t>H009</t>
  </si>
  <si>
    <t>H010</t>
  </si>
  <si>
    <t>The above functions are applied to the Column of Monthly_Income_BDT (cell B2 to B13) to generate different types of results. Similarly, we can apply these functions in other numerical cells to interpret various outcomes.</t>
  </si>
  <si>
    <t>H011</t>
  </si>
  <si>
    <t>H012</t>
  </si>
  <si>
    <t>IF Function</t>
  </si>
  <si>
    <t>The IF function allows Excel to make a decision based on a condition.</t>
  </si>
  <si>
    <t>For example, suppose we want to classify households according to whether their monthly income is at least BDT 30,000.</t>
  </si>
  <si>
    <t>Note: Synthetic practice data</t>
  </si>
  <si>
    <t>=IF(condition, value_if_true, value_if_false)</t>
  </si>
  <si>
    <t>=IF(B2&gt;=30000,"At/above 30,000","Below 30,000")</t>
  </si>
  <si>
    <t>Result:</t>
  </si>
  <si>
    <t>The If function is applied to the cells from E2 to E13 under the Column 'Income_Category'. It represents the households whose income are below or at/above BDT 30000.</t>
  </si>
  <si>
    <t>Statistic</t>
  </si>
  <si>
    <t>Total household income</t>
  </si>
  <si>
    <t>Mean income</t>
  </si>
  <si>
    <t>Number of households</t>
  </si>
  <si>
    <t>MInimum income</t>
  </si>
  <si>
    <t>Maximun income</t>
  </si>
  <si>
    <t>Median income</t>
  </si>
  <si>
    <t>Interpretation:</t>
  </si>
  <si>
    <t>The practice dataset contains 12 fictional households. Their combined monthly income is BDT 367,000. Mean monthly income is approximately BDT 30,583, while median income is BDT 29,000. The lowest recorded income is BDT 15,000 and the highest is BDT 52,000. The difference between the mean and median indicates that the distribution's centre differs depending on the measure used. However, this small, fictional dataset cannot support conclusions about the income distribution of Bangladesh.</t>
  </si>
  <si>
    <t>Question 1: What does the range between the minimum and maximum tell you?</t>
  </si>
  <si>
    <r>
      <rPr>
        <b/>
        <sz val="11"/>
        <color rgb="FF000000"/>
        <rFont val="Calibri"/>
        <scheme val="minor"/>
      </rPr>
      <t>Answer:</t>
    </r>
    <r>
      <rPr>
        <sz val="11"/>
        <color rgb="FF000000"/>
        <rFont val="Calibri"/>
        <scheme val="minor"/>
      </rPr>
      <t xml:space="preserve"> The range of monthly income is BDT 37,000, calculated as the difference between the maximum income of BDT 52,000 and the minimum income of BDT 15,000. This indicates considerable variation between the lowest- and highest-income households in this practice dataset. However, the range alone is insufficient to determine the overall level of income inequality because it does not describe how income is distributed among all households.</t>
    </r>
  </si>
  <si>
    <t>Question 2: Why are these results insufficient to estimate income inequality in Bangladesh?</t>
  </si>
  <si>
    <r>
      <rPr>
        <b/>
        <sz val="11"/>
        <color rgb="FF000000"/>
        <rFont val="Calibri"/>
        <scheme val="minor"/>
      </rPr>
      <t>Answer:</t>
    </r>
    <r>
      <rPr>
        <sz val="11"/>
        <color rgb="FF000000"/>
        <rFont val="Calibri"/>
        <scheme val="minor"/>
      </rPr>
      <t xml:space="preserve"> These results are insufficient to estimate income inequality in Bangladesh because the dataset is synthetic, contains only 12 fictional household observations, and is not representative of the country's population. Although the calculations demonstrate how to analyse income data, they cannot support conclusions about actual household income or national income inequality. A credible national estimate would require suitable real-world data and an appropriate sampling or survey design, along with measures such as the Gini coefficient or the Lorenz curve.</t>
    </r>
  </si>
  <si>
    <t>ID</t>
  </si>
  <si>
    <t>Region</t>
  </si>
  <si>
    <t>Internet Users</t>
  </si>
  <si>
    <t>Monthly Income (BDT)</t>
  </si>
  <si>
    <t>Internet Access</t>
  </si>
  <si>
    <t>Conditional Formula</t>
  </si>
  <si>
    <t>Dhaka</t>
  </si>
  <si>
    <t>Yes</t>
  </si>
  <si>
    <t>SUMIF</t>
  </si>
  <si>
    <t>=SUMIF(criteria_range, criteria, sum_range)</t>
  </si>
  <si>
    <t>Add values only when a condition is met.</t>
  </si>
  <si>
    <t>Chattogram</t>
  </si>
  <si>
    <t>Rajshahi</t>
  </si>
  <si>
    <t>No</t>
  </si>
  <si>
    <t xml:space="preserve">Exercise Questions	</t>
  </si>
  <si>
    <t>Formula</t>
  </si>
  <si>
    <t>Total income in Dhaka</t>
  </si>
  <si>
    <t>=SUMIF(b2:b11,"Dhaka",d2:d11)</t>
  </si>
  <si>
    <t>Khulna</t>
  </si>
  <si>
    <t>Total income in Chattogram</t>
  </si>
  <si>
    <t>=SUMIF(B2:B11,"Chattogram",D2:D11)</t>
  </si>
  <si>
    <t>Total income for records with access</t>
  </si>
  <si>
    <t>=SUMIF(E2:E11,"Yes",D2:D11)</t>
  </si>
  <si>
    <t>Total income above BDT 25,000</t>
  </si>
  <si>
    <t>=SUMIF(D2:D11,"&gt;25000")</t>
  </si>
  <si>
    <t>total Internet Users for Dhaka</t>
  </si>
  <si>
    <t>=SUMIF(B2:B11,"Dhaka",C2:C11)</t>
  </si>
  <si>
    <t>COUNTIF</t>
  </si>
  <si>
    <t>=COUNTIF(range, criteria)</t>
  </si>
  <si>
    <t>Count how many cells meet one condition.</t>
  </si>
  <si>
    <t>COUNTIFS</t>
  </si>
  <si>
    <t>=COUNTIFS(criteria_range1, criteria1,criteria_range2, criteria2)</t>
  </si>
  <si>
    <t>Count records that satisfy two or more conditions simultaneously.</t>
  </si>
  <si>
    <t>Exercise Questions</t>
  </si>
  <si>
    <t>How many Dhaka Records?</t>
  </si>
  <si>
    <t>=COUNTIF(B2:B11,"Dhaka")</t>
  </si>
  <si>
    <t>How many people have internet access?</t>
  </si>
  <si>
    <t>=COUNTIF(E2:E11,"Yes")</t>
  </si>
  <si>
    <t>count people who:
- live in Chattogram, and
- have internet access.</t>
  </si>
  <si>
    <t>=COUNTIFS(B2:B11,"Chattogram",E2:E11,"Yes")</t>
  </si>
  <si>
    <t>How many income values exceed 25000?</t>
  </si>
  <si>
    <t>=COUNTIF(D2:D11,"&gt;25000")</t>
  </si>
  <si>
    <t>Dhaka records with internet access</t>
  </si>
  <si>
    <t>=COUNTIFS(B2:B11,"Dhaka",E2:E11,"Yes")</t>
  </si>
  <si>
    <t>How many records have no internet access?</t>
  </si>
  <si>
    <t>=COUNTIF(E2:E11,"No")</t>
  </si>
  <si>
    <t>Records with income above 20000 and access</t>
  </si>
  <si>
    <t>=COUNTIFS(D2:D11,"&gt;20000",E2:E11,"Yes")</t>
  </si>
  <si>
    <t>How many people have monthly income below BDT 20,000?</t>
  </si>
  <si>
    <t>=COUNTIF(d2:d10,"&lt;20000")</t>
  </si>
  <si>
    <t>Rajshahi records without access</t>
  </si>
  <si>
    <t>=COUNTIFS(B2:B11,"Rajshahi",E2:E11,"No")</t>
  </si>
  <si>
    <t>SUMIFS</t>
  </si>
  <si>
    <t>=SUMIFS(sum_range, criteria_range1, criteria1,criteria_range2, criteria2)</t>
  </si>
  <si>
    <t>Add values only when multiple conditions are satisfied.</t>
  </si>
  <si>
    <t>XLOOKUP</t>
  </si>
  <si>
    <t>=XLOOKUP(lookup_value,lookup_array,return_array, [if_not_found])</t>
  </si>
  <si>
    <t>Find an ID or other identifier and return a related value from another column.</t>
  </si>
  <si>
    <t>total monthly income of Chattogram records with internet access.</t>
  </si>
  <si>
    <t>=SUMIFS(D2:D11,B2:B11,"Chattogram",E2:E11,"Yes")</t>
  </si>
  <si>
    <t>Income associated with ID 104</t>
  </si>
  <si>
    <t>=XLOOKUP(104,A2:A11,D2:D11,"Not Found")</t>
  </si>
  <si>
    <t>Find income for ID 101</t>
  </si>
  <si>
    <t>=XLOOKUP(101,A2:A11,D2:D11,Null)</t>
  </si>
  <si>
    <t>Income in Dhaka with internet access</t>
  </si>
  <si>
    <t>=SUMIFS(D2:D11,B2:B11,"Dhaka",E2:E11,"Yes")</t>
  </si>
  <si>
    <t>Find region for ID 106</t>
  </si>
  <si>
    <t>=XLOOKUP(106,A2:A11,B2:B11,Null)</t>
  </si>
  <si>
    <t>Find internet-access status for ID 107</t>
  </si>
  <si>
    <t>=XLOOKUP(107,A2:A11,E2:E11,Null)</t>
  </si>
  <si>
    <t>Income in Khulna without internet access</t>
  </si>
  <si>
    <t>=SUMIFS(D2:D11,B2:B11,"Khulna",E2:E11,"No")</t>
  </si>
  <si>
    <t>Internet Users in Chattogram with access</t>
  </si>
  <si>
    <t>=SUMIFS(C2:C11,B2:B11,"Chattogram",E2:E11,"Yes")</t>
  </si>
  <si>
    <t>Search for nonexistent ID 999</t>
  </si>
  <si>
    <t>=XLOOKUP(999,A2:A11,D2:D11,"Not Found")</t>
  </si>
  <si>
    <t>Conditional Analysis of a Fictional Digital Connectivity Dataset</t>
  </si>
  <si>
    <t>Analysis Question</t>
  </si>
  <si>
    <t>Number of records in Dhaka</t>
  </si>
  <si>
    <t>=COUNTIF(DATA!B2:B11,"Dhaka")</t>
  </si>
  <si>
    <t>=SUMIF(DATA!B2:B11,"Dhaka",DATA!D2:D11)</t>
  </si>
  <si>
    <t>Number of Chattogram records with access</t>
  </si>
  <si>
    <t>=COUNTIFS(DATA!B2:B11,"Chattogram",DATA!E2:E11,"Yes")</t>
  </si>
  <si>
    <t>Total income in Chattogram with access</t>
  </si>
  <si>
    <t>=SUMIFS(DATA!D2:D11,DATA!B2:B11,"Chattogram",DATA!E2:E11,"Yes")</t>
  </si>
  <si>
    <t>=XLOOKUP(104,DATA!A2:A11,DATA!D2:D11)</t>
  </si>
  <si>
    <t>Total internet users in Dhaka</t>
  </si>
  <si>
    <t>=SUMIF(DATA!B2:B11,"Dhaka",DATA!C2:C11)</t>
  </si>
  <si>
    <t>NOTES — What I Learned</t>
  </si>
  <si>
    <t>Today I learned to use COUNTIF and SUMIF for calculations based on one condition, COUNTIFS and SUMIFS for multiple conditions, and XLOOKUP to retrieve related information using an ID. I practised analysing regional income, internet users, and internet-access records, and learned to organise results separately from raw data. These skills will support future statistical analysis and research projects.
Note: This is synthetic practice data, not official Bangladesh statistics.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</si>
</sst>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BDT]\ #,##0"/>
    <numFmt numFmtId="166" formatCode="[$BDT]\ #,##0.00"/>
  </numFmts>
  <fonts count="2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name val="Calibri"/>
    </font>
    <font>
      <b/>
      <sz val="11"/>
      <color rgb="FF9C0006"/>
      <name val="Calibri"/>
    </font>
    <font>
      <b/>
      <sz val="12"/>
      <color theme="1"/>
      <name val="Calibri"/>
      <family val="2"/>
      <scheme val="minor"/>
    </font>
    <font>
      <sz val="11"/>
      <color rgb="FF242424"/>
      <name val="Aptos Narrow"/>
      <charset val="1"/>
    </font>
    <font>
      <b/>
      <sz val="11"/>
      <color rgb="FF000000"/>
      <name val="Calibri"/>
      <scheme val="minor"/>
    </font>
    <font>
      <sz val="11"/>
      <color rgb="FF000000"/>
      <name val="Calibri"/>
      <scheme val="minor"/>
    </font>
    <font>
      <b/>
      <sz val="11"/>
      <color rgb="FF000000"/>
      <name val="Calibri"/>
      <charset val="1"/>
    </font>
    <font>
      <b/>
      <sz val="14"/>
      <color theme="1"/>
      <name val="Calibri"/>
      <family val="2"/>
      <scheme val="minor"/>
    </font>
    <font>
      <b/>
      <sz val="12"/>
      <color rgb="FFFF0000"/>
      <name val="Calibri"/>
      <scheme val="minor"/>
    </font>
    <font>
      <b/>
      <sz val="12"/>
      <color rgb="FFFF0000"/>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6">
    <xf numFmtId="0" fontId="0" fillId="0" borderId="0" xfId="0"/>
    <xf numFmtId="164" fontId="0" fillId="0" borderId="0" xfId="0" applyNumberFormat="1"/>
    <xf numFmtId="0" fontId="0" fillId="0" borderId="0" xfId="0" applyAlignment="1">
      <alignment horizontal="right"/>
    </xf>
    <xf numFmtId="0" fontId="18" fillId="0" borderId="0" xfId="0" applyFont="1"/>
    <xf numFmtId="0" fontId="16" fillId="0" borderId="0" xfId="0" applyFont="1"/>
    <xf numFmtId="0" fontId="20" fillId="0" borderId="0" xfId="0" applyFont="1" applyAlignment="1">
      <alignment horizontal="center"/>
    </xf>
    <xf numFmtId="0" fontId="21" fillId="0" borderId="0" xfId="0" applyFont="1"/>
    <xf numFmtId="0" fontId="0" fillId="0" borderId="0" xfId="0" applyAlignment="1">
      <alignment horizontal="left" vertical="top"/>
    </xf>
    <xf numFmtId="2" fontId="0" fillId="0" borderId="0" xfId="0" applyNumberFormat="1" applyAlignment="1">
      <alignment horizontal="center"/>
    </xf>
    <xf numFmtId="2" fontId="0" fillId="0" borderId="0" xfId="0" quotePrefix="1" applyNumberFormat="1"/>
    <xf numFmtId="0" fontId="0" fillId="0" borderId="0" xfId="0" quotePrefix="1"/>
    <xf numFmtId="165" fontId="0" fillId="0" borderId="0" xfId="0" applyNumberFormat="1"/>
    <xf numFmtId="0" fontId="0" fillId="0" borderId="0" xfId="0" applyNumberFormat="1"/>
    <xf numFmtId="166" fontId="0" fillId="0" borderId="0" xfId="0" applyNumberFormat="1"/>
    <xf numFmtId="0" fontId="0" fillId="35" borderId="0" xfId="0" applyFill="1"/>
    <xf numFmtId="0" fontId="20" fillId="0" borderId="0" xfId="0" applyFont="1" applyAlignment="1">
      <alignment horizontal="left"/>
    </xf>
    <xf numFmtId="0" fontId="24" fillId="0" borderId="0" xfId="0" applyFont="1"/>
    <xf numFmtId="0" fontId="0" fillId="33" borderId="0" xfId="0" applyFill="1"/>
    <xf numFmtId="0" fontId="16" fillId="0" borderId="0" xfId="0" applyFont="1" applyAlignment="1">
      <alignment horizontal="center" vertical="center"/>
    </xf>
    <xf numFmtId="0" fontId="0" fillId="0" borderId="0" xfId="0" applyAlignment="1">
      <alignment horizontal="center" vertical="center"/>
    </xf>
    <xf numFmtId="0" fontId="25" fillId="0" borderId="0" xfId="0" applyFont="1"/>
    <xf numFmtId="0" fontId="0" fillId="36" borderId="0" xfId="0" applyFill="1"/>
    <xf numFmtId="0" fontId="0" fillId="36" borderId="0" xfId="0" applyFill="1" applyAlignment="1">
      <alignment horizontal="center" vertical="center"/>
    </xf>
    <xf numFmtId="0" fontId="0" fillId="0" borderId="0" xfId="0" quotePrefix="1" applyAlignment="1">
      <alignment horizontal="center" vertical="center"/>
    </xf>
    <xf numFmtId="0" fontId="0" fillId="0" borderId="0" xfId="0" applyAlignment="1"/>
    <xf numFmtId="0" fontId="0" fillId="0" borderId="0" xfId="0" applyAlignment="1">
      <alignment horizontal="center"/>
    </xf>
    <xf numFmtId="0" fontId="0" fillId="0" borderId="0" xfId="0" applyAlignment="1">
      <alignment horizontal="center" vertical="center"/>
    </xf>
    <xf numFmtId="0" fontId="0" fillId="0" borderId="0" xfId="0" applyAlignment="1">
      <alignment wrapText="1"/>
    </xf>
    <xf numFmtId="0" fontId="0" fillId="0" borderId="0" xfId="0" quotePrefix="1" applyAlignment="1">
      <alignment vertical="top" wrapText="1"/>
    </xf>
    <xf numFmtId="0" fontId="16" fillId="0" borderId="0" xfId="0" applyFont="1" applyAlignment="1"/>
    <xf numFmtId="165" fontId="0" fillId="0" borderId="0" xfId="0" applyNumberFormat="1" applyAlignment="1">
      <alignment horizontal="center" vertical="center"/>
    </xf>
    <xf numFmtId="0" fontId="26" fillId="37" borderId="0" xfId="0" applyFont="1" applyFill="1" applyAlignment="1">
      <alignment horizontal="center"/>
    </xf>
    <xf numFmtId="0" fontId="27" fillId="37" borderId="0" xfId="0" applyFont="1" applyFill="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0" xfId="0" applyAlignment="1">
      <alignment horizontal="left" wrapText="1"/>
    </xf>
    <xf numFmtId="0" fontId="0" fillId="0" borderId="0" xfId="0" quotePrefix="1" applyAlignment="1">
      <alignment vertical="center"/>
    </xf>
    <xf numFmtId="0" fontId="0" fillId="0" borderId="0" xfId="0" applyAlignment="1">
      <alignment vertical="center"/>
    </xf>
    <xf numFmtId="0" fontId="0" fillId="0" borderId="0" xfId="0" quotePrefix="1" applyAlignment="1">
      <alignment horizontal="center"/>
    </xf>
    <xf numFmtId="0" fontId="0" fillId="0" borderId="0" xfId="0" applyAlignment="1">
      <alignment wrapText="1"/>
    </xf>
    <xf numFmtId="0" fontId="0" fillId="0" borderId="0" xfId="0" quotePrefix="1" applyAlignment="1">
      <alignment horizontal="left" vertical="center" wrapText="1"/>
    </xf>
    <xf numFmtId="0" fontId="0" fillId="0" borderId="0" xfId="0" applyAlignment="1">
      <alignment horizontal="left" vertical="center" wrapText="1"/>
    </xf>
    <xf numFmtId="0" fontId="0" fillId="0" borderId="0" xfId="0" applyAlignment="1">
      <alignment horizontal="center" vertical="center"/>
    </xf>
    <xf numFmtId="0" fontId="0" fillId="0" borderId="0" xfId="0" applyAlignment="1">
      <alignment horizontal="left" vertical="top" wrapText="1"/>
    </xf>
    <xf numFmtId="0" fontId="0" fillId="0" borderId="0" xfId="0" quotePrefix="1" applyAlignment="1">
      <alignment wrapText="1"/>
    </xf>
    <xf numFmtId="0" fontId="0" fillId="0" borderId="0" xfId="0" quotePrefix="1" applyAlignment="1">
      <alignment horizontal="left" wrapText="1"/>
    </xf>
    <xf numFmtId="0" fontId="0" fillId="0" borderId="0" xfId="0" quotePrefix="1" applyAlignment="1">
      <alignment vertical="top" wrapText="1"/>
    </xf>
    <xf numFmtId="0" fontId="0" fillId="0" borderId="0" xfId="0" applyAlignment="1">
      <alignment vertical="top" wrapText="1"/>
    </xf>
    <xf numFmtId="0" fontId="0" fillId="36" borderId="0" xfId="0" applyFill="1" applyAlignment="1"/>
    <xf numFmtId="0" fontId="0" fillId="0" borderId="0" xfId="0" quotePrefix="1" applyAlignment="1">
      <alignment horizontal="left" vertical="top" wrapText="1"/>
    </xf>
    <xf numFmtId="0" fontId="26" fillId="37" borderId="0" xfId="0" applyFont="1" applyFill="1" applyAlignment="1">
      <alignment horizontal="center"/>
    </xf>
    <xf numFmtId="0" fontId="27" fillId="37" borderId="0" xfId="0" applyFont="1" applyFill="1" applyAlignment="1">
      <alignment horizontal="center"/>
    </xf>
    <xf numFmtId="0" fontId="0" fillId="0" borderId="0" xfId="0" quotePrefix="1" applyAlignment="1">
      <alignment horizontal="left" vertical="center"/>
    </xf>
    <xf numFmtId="0" fontId="0" fillId="0" borderId="0" xfId="0" applyAlignment="1">
      <alignment horizontal="left" vertical="center"/>
    </xf>
    <xf numFmtId="0" fontId="0" fillId="0" borderId="0" xfId="0" quotePrefix="1" applyAlignment="1">
      <alignment vertical="center" wrapText="1"/>
    </xf>
    <xf numFmtId="0" fontId="0" fillId="0" borderId="0" xfId="0" applyAlignment="1">
      <alignment vertical="center" wrapText="1"/>
    </xf>
    <xf numFmtId="0" fontId="16" fillId="0" borderId="0" xfId="0" applyFont="1" applyAlignment="1"/>
    <xf numFmtId="0" fontId="21" fillId="0" borderId="0" xfId="0" quotePrefix="1" applyFont="1" applyAlignment="1">
      <alignment horizontal="center" vertical="center"/>
    </xf>
    <xf numFmtId="0" fontId="0" fillId="0" borderId="0" xfId="0" applyAlignment="1"/>
    <xf numFmtId="0" fontId="19" fillId="0" borderId="0" xfId="0" applyFont="1" applyAlignment="1"/>
    <xf numFmtId="0" fontId="0" fillId="33" borderId="0" xfId="0" applyFill="1" applyAlignment="1">
      <alignment wrapText="1"/>
    </xf>
    <xf numFmtId="0" fontId="0" fillId="33" borderId="0" xfId="0" applyFill="1" applyAlignment="1">
      <alignment horizontal="left" vertical="top" wrapText="1"/>
    </xf>
    <xf numFmtId="0" fontId="0" fillId="34" borderId="0" xfId="0" applyFill="1" applyAlignment="1">
      <alignment wrapText="1"/>
    </xf>
    <xf numFmtId="0" fontId="23" fillId="0" borderId="0" xfId="0" applyFont="1" applyAlignment="1">
      <alignment horizontal="left" wrapText="1"/>
    </xf>
    <xf numFmtId="0" fontId="25" fillId="0" borderId="0" xfId="0" applyFont="1" applyAlignment="1">
      <alignment horizontal="center"/>
    </xf>
    <xf numFmtId="0" fontId="0" fillId="0" borderId="0" xfId="0" applyFon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alignment horizontal="center" vertical="center"/>
    </dxf>
    <dxf>
      <alignment horizontal="center"/>
    </dxf>
    <dxf>
      <alignment horizontal="center"/>
    </dxf>
    <dxf>
      <alignment horizontal="center"/>
    </dxf>
    <dxf>
      <font>
        <b/>
        <i val="0"/>
        <strike val="0"/>
        <condense val="0"/>
        <extend val="0"/>
        <outline val="0"/>
        <shadow val="0"/>
        <u val="none"/>
        <vertAlign val="baseline"/>
        <sz val="11"/>
        <color theme="1"/>
        <name val="Calibri"/>
        <family val="2"/>
        <scheme val="minor"/>
      </font>
    </dxf>
    <dxf>
      <numFmt numFmtId="164" formatCode="0.0"/>
    </dxf>
    <dxf>
      <numFmt numFmtId="164" formatCode="0.0"/>
    </dxf>
    <dxf>
      <numFmt numFmtId="164" formatCode="0.0"/>
    </dxf>
    <dxf>
      <numFmt numFmtId="164" formatCode="0.0"/>
    </dxf>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25604C-4346-4BE0-AEE2-9B3478213859}" name="Table1" displayName="Table1" ref="A1:G13" totalsRowShown="0">
  <autoFilter ref="A1:G13" xr:uid="{7525604C-4346-4BE0-AEE2-9B3478213859}"/>
  <sortState xmlns:xlrd2="http://schemas.microsoft.com/office/spreadsheetml/2017/richdata2" ref="A2:F13">
    <sortCondition descending="1" ref="C1:C13"/>
  </sortState>
  <tableColumns count="7">
    <tableColumn id="1" xr3:uid="{96BACC81-4440-47BF-B170-4DF1CFF6CC69}" name="Illustrative Area"/>
    <tableColumn id="2" xr3:uid="{618DFA53-2AD0-4220-85B1-19C2AE9DCA3F}" name="Year"/>
    <tableColumn id="3" xr3:uid="{E7E8489B-39D3-4CEF-8272-697E2D80AD6E}" name="Internet Access (%)" dataDxfId="9"/>
    <tableColumn id="4" xr3:uid="{4568CBFA-EF02-4D76-A2D5-B3DEB9F4C7B3}" name="Fixed Broadband Subscriptions (per 100 people)" dataDxfId="8"/>
    <tableColumn id="5" xr3:uid="{7F662AB5-0BFA-4EA1-9652-00F6C63AD920}" name="Mobile Internet Use (%)" dataDxfId="7"/>
    <tableColumn id="6" xr3:uid="{46AACEA6-45E3-4B73-84BE-20B39A223BDC}" name="Households Using Digital Services (%)" dataDxfId="6"/>
    <tableColumn id="7" xr3:uid="{B8841B73-E16C-4C35-A601-FF7FDFABF93B}" name="Column1" dataDxfId="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852FA4A-4DE7-42B2-9EC0-F85BF8F9A716}" name="Table2" displayName="Table2" ref="A1:E11" totalsRowShown="0" headerRowDxfId="4">
  <autoFilter ref="A1:E11" xr:uid="{9852FA4A-4DE7-42B2-9EC0-F85BF8F9A716}"/>
  <tableColumns count="5">
    <tableColumn id="1" xr3:uid="{3E8C5BD9-F80D-4EE1-8304-FEBAB16189FC}" name="ID" dataDxfId="3"/>
    <tableColumn id="2" xr3:uid="{CB5AAC28-55EB-4613-8087-2D7C62A1CDB2}" name="Region"/>
    <tableColumn id="3" xr3:uid="{98F2E5AA-1872-4293-8498-4E2624D04215}" name="Internet Users" dataDxfId="2"/>
    <tableColumn id="4" xr3:uid="{C0E05BE3-4C55-434A-8E6D-4666273D276E}" name="Monthly Income (BDT)" dataDxfId="1"/>
    <tableColumn id="5" xr3:uid="{C479B2E5-44BD-4EC3-B969-C88BCBBEAAF3}" name="Internet Access"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9D744-68B0-409F-9768-BFFB205D59A3}">
  <dimension ref="A1:G20"/>
  <sheetViews>
    <sheetView workbookViewId="0">
      <selection activeCell="J6" sqref="J6"/>
    </sheetView>
  </sheetViews>
  <sheetFormatPr defaultRowHeight="15"/>
  <cols>
    <col min="1" max="1" width="17.140625" bestFit="1" customWidth="1"/>
    <col min="2" max="2" width="7" bestFit="1" customWidth="1"/>
    <col min="3" max="3" width="20.28515625" bestFit="1" customWidth="1"/>
    <col min="4" max="4" width="33.7109375" customWidth="1"/>
    <col min="5" max="5" width="24.42578125" bestFit="1" customWidth="1"/>
    <col min="6" max="6" width="25.42578125" bestFit="1" customWidth="1"/>
    <col min="7" max="7" width="11.42578125" bestFit="1" customWidth="1"/>
  </cols>
  <sheetData>
    <row r="1" spans="1:7" ht="30.75">
      <c r="A1" s="27" t="s">
        <v>0</v>
      </c>
      <c r="B1" s="27" t="s">
        <v>1</v>
      </c>
      <c r="C1" s="27" t="s">
        <v>2</v>
      </c>
      <c r="D1" s="27" t="s">
        <v>3</v>
      </c>
      <c r="E1" s="27" t="s">
        <v>4</v>
      </c>
      <c r="F1" s="27" t="s">
        <v>5</v>
      </c>
      <c r="G1" t="s">
        <v>6</v>
      </c>
    </row>
    <row r="2" spans="1:7">
      <c r="A2" t="s">
        <v>7</v>
      </c>
      <c r="B2">
        <v>2024</v>
      </c>
      <c r="C2" s="1">
        <v>80</v>
      </c>
      <c r="D2" s="1">
        <v>35</v>
      </c>
      <c r="E2" s="1">
        <v>88</v>
      </c>
      <c r="F2" s="1">
        <v>49</v>
      </c>
      <c r="G2" s="1"/>
    </row>
    <row r="3" spans="1:7">
      <c r="A3" t="s">
        <v>7</v>
      </c>
      <c r="B3">
        <v>2023</v>
      </c>
      <c r="C3" s="1">
        <v>76</v>
      </c>
      <c r="D3" s="1">
        <v>31</v>
      </c>
      <c r="E3" s="1">
        <v>85</v>
      </c>
      <c r="F3" s="1">
        <v>45</v>
      </c>
      <c r="G3" s="1" t="s">
        <v>8</v>
      </c>
    </row>
    <row r="4" spans="1:7">
      <c r="A4" t="s">
        <v>7</v>
      </c>
      <c r="B4">
        <v>2022</v>
      </c>
      <c r="C4" s="1">
        <v>73</v>
      </c>
      <c r="D4" s="1">
        <v>28</v>
      </c>
      <c r="E4" s="1">
        <v>82</v>
      </c>
      <c r="F4" s="1">
        <v>41</v>
      </c>
      <c r="G4" s="1"/>
    </row>
    <row r="5" spans="1:7">
      <c r="A5" t="s">
        <v>9</v>
      </c>
      <c r="B5">
        <v>2024</v>
      </c>
      <c r="C5" s="1">
        <v>70</v>
      </c>
      <c r="D5" s="1">
        <v>24</v>
      </c>
      <c r="E5" s="1">
        <v>80</v>
      </c>
      <c r="F5" s="1">
        <v>42</v>
      </c>
      <c r="G5" s="1"/>
    </row>
    <row r="6" spans="1:7">
      <c r="A6" t="s">
        <v>9</v>
      </c>
      <c r="B6">
        <v>2023</v>
      </c>
      <c r="C6" s="1">
        <v>66</v>
      </c>
      <c r="D6" s="1">
        <v>21</v>
      </c>
      <c r="E6" s="1">
        <v>77</v>
      </c>
      <c r="F6" s="1">
        <v>38</v>
      </c>
      <c r="G6" s="1"/>
    </row>
    <row r="7" spans="1:7">
      <c r="A7" t="s">
        <v>9</v>
      </c>
      <c r="B7">
        <v>2022</v>
      </c>
      <c r="C7" s="1">
        <v>62</v>
      </c>
      <c r="D7" s="1">
        <v>18</v>
      </c>
      <c r="E7" s="1">
        <v>74</v>
      </c>
      <c r="F7" s="1">
        <v>35</v>
      </c>
      <c r="G7" s="1"/>
    </row>
    <row r="8" spans="1:7">
      <c r="A8" t="s">
        <v>10</v>
      </c>
      <c r="B8">
        <v>2024</v>
      </c>
      <c r="C8" s="1">
        <v>57</v>
      </c>
      <c r="D8" s="1">
        <v>18</v>
      </c>
      <c r="E8" s="1">
        <v>69</v>
      </c>
      <c r="F8" s="1">
        <v>33</v>
      </c>
      <c r="G8" s="1"/>
    </row>
    <row r="9" spans="1:7">
      <c r="A9" t="s">
        <v>11</v>
      </c>
      <c r="B9">
        <v>2024</v>
      </c>
      <c r="C9" s="1">
        <v>54</v>
      </c>
      <c r="D9" s="1">
        <v>16</v>
      </c>
      <c r="E9" s="1">
        <v>66</v>
      </c>
      <c r="F9" s="1">
        <v>31</v>
      </c>
      <c r="G9" s="1"/>
    </row>
    <row r="10" spans="1:7">
      <c r="A10" t="s">
        <v>10</v>
      </c>
      <c r="B10">
        <v>2023</v>
      </c>
      <c r="C10" s="1">
        <v>52</v>
      </c>
      <c r="D10" s="1">
        <v>15</v>
      </c>
      <c r="E10" s="1">
        <v>65</v>
      </c>
      <c r="F10" s="1">
        <v>30</v>
      </c>
      <c r="G10" s="1"/>
    </row>
    <row r="11" spans="1:7">
      <c r="A11" t="s">
        <v>11</v>
      </c>
      <c r="B11">
        <v>2023</v>
      </c>
      <c r="C11" s="1">
        <v>49</v>
      </c>
      <c r="D11" s="1">
        <v>13</v>
      </c>
      <c r="E11" s="1">
        <v>62</v>
      </c>
      <c r="F11" s="1">
        <v>28</v>
      </c>
      <c r="G11" s="1"/>
    </row>
    <row r="12" spans="1:7">
      <c r="A12" t="s">
        <v>10</v>
      </c>
      <c r="B12">
        <v>2022</v>
      </c>
      <c r="C12" s="1">
        <v>48</v>
      </c>
      <c r="D12" s="1">
        <v>12</v>
      </c>
      <c r="E12" s="1">
        <v>61</v>
      </c>
      <c r="F12" s="1">
        <v>27</v>
      </c>
      <c r="G12" s="1"/>
    </row>
    <row r="13" spans="1:7">
      <c r="A13" t="s">
        <v>11</v>
      </c>
      <c r="B13">
        <v>2022</v>
      </c>
      <c r="C13" s="1">
        <v>44</v>
      </c>
      <c r="D13" s="1">
        <v>10</v>
      </c>
      <c r="E13" s="1">
        <v>58</v>
      </c>
      <c r="F13" s="1">
        <v>24</v>
      </c>
      <c r="G13" s="1"/>
    </row>
    <row r="15" spans="1:7">
      <c r="A15" s="3" t="s">
        <v>12</v>
      </c>
      <c r="B15" s="59" t="s">
        <v>13</v>
      </c>
      <c r="C15" s="58"/>
      <c r="D15" s="58"/>
      <c r="E15" s="58"/>
      <c r="F15" s="58"/>
    </row>
    <row r="16" spans="1:7">
      <c r="A16" s="2" t="s">
        <v>14</v>
      </c>
    </row>
    <row r="17" spans="1:2">
      <c r="A17">
        <f>COUNTA(A2:A13)</f>
        <v>12</v>
      </c>
      <c r="B17" t="s">
        <v>15</v>
      </c>
    </row>
    <row r="18" spans="1:2">
      <c r="A18">
        <f>COUNT(B2:B13)</f>
        <v>12</v>
      </c>
      <c r="B18" t="s">
        <v>16</v>
      </c>
    </row>
    <row r="19" spans="1:2">
      <c r="A19" s="1">
        <f>MIN(C2:C13)</f>
        <v>44</v>
      </c>
      <c r="B19" t="s">
        <v>17</v>
      </c>
    </row>
    <row r="20" spans="1:2">
      <c r="A20" s="1">
        <f>MAX(D2:D13)</f>
        <v>35</v>
      </c>
      <c r="B20" t="s">
        <v>18</v>
      </c>
    </row>
  </sheetData>
  <mergeCells count="1">
    <mergeCell ref="B15:F15"/>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07138-A41E-476F-AF50-E93B526A1C31}">
  <dimension ref="A1:P26"/>
  <sheetViews>
    <sheetView workbookViewId="0">
      <selection activeCell="D18" sqref="D18"/>
    </sheetView>
  </sheetViews>
  <sheetFormatPr defaultRowHeight="15"/>
  <cols>
    <col min="1" max="1" width="13.5703125" bestFit="1" customWidth="1"/>
    <col min="2" max="2" width="21" bestFit="1" customWidth="1"/>
    <col min="3" max="3" width="22.42578125" bestFit="1" customWidth="1"/>
    <col min="4" max="4" width="21.5703125" bestFit="1" customWidth="1"/>
    <col min="5" max="5" width="16.5703125" bestFit="1" customWidth="1"/>
    <col min="8" max="8" width="11" customWidth="1"/>
    <col min="9" max="9" width="12.5703125" bestFit="1" customWidth="1"/>
    <col min="10" max="10" width="48.140625" bestFit="1" customWidth="1"/>
  </cols>
  <sheetData>
    <row r="1" spans="1:16">
      <c r="A1" s="24" t="s">
        <v>19</v>
      </c>
      <c r="B1" t="s">
        <v>20</v>
      </c>
      <c r="C1" t="s">
        <v>21</v>
      </c>
      <c r="D1" t="s">
        <v>22</v>
      </c>
      <c r="E1" s="14" t="s">
        <v>23</v>
      </c>
    </row>
    <row r="2" spans="1:16">
      <c r="A2" t="s">
        <v>24</v>
      </c>
      <c r="B2">
        <v>18000</v>
      </c>
      <c r="C2">
        <v>8</v>
      </c>
      <c r="D2">
        <v>600</v>
      </c>
      <c r="E2" s="14" t="str">
        <f>IF(B2&gt;=30000,"At/above 30,000","Below 30,000")</f>
        <v>Below 30,000</v>
      </c>
    </row>
    <row r="3" spans="1:16" ht="15.75">
      <c r="A3" t="s">
        <v>25</v>
      </c>
      <c r="B3">
        <v>25000</v>
      </c>
      <c r="C3">
        <v>12</v>
      </c>
      <c r="D3">
        <v>800</v>
      </c>
      <c r="E3" s="14" t="str">
        <f t="shared" ref="E3:E13" si="0">IF(B3&gt;=30000,"At/above 30,000","Below 30,000")</f>
        <v>Below 30,000</v>
      </c>
      <c r="H3" s="15" t="s">
        <v>26</v>
      </c>
      <c r="I3" s="5" t="s">
        <v>27</v>
      </c>
      <c r="J3" s="5" t="s">
        <v>28</v>
      </c>
    </row>
    <row r="4" spans="1:16">
      <c r="A4" t="s">
        <v>29</v>
      </c>
      <c r="B4">
        <v>32000</v>
      </c>
      <c r="C4">
        <v>18</v>
      </c>
      <c r="D4">
        <v>1000</v>
      </c>
      <c r="E4" s="14" t="str">
        <f t="shared" si="0"/>
        <v>At/above 30,000</v>
      </c>
      <c r="H4" t="s">
        <v>30</v>
      </c>
      <c r="I4" s="25">
        <f>SUM(B2:B13)</f>
        <v>367000</v>
      </c>
      <c r="J4" t="s">
        <v>31</v>
      </c>
    </row>
    <row r="5" spans="1:16">
      <c r="A5" t="s">
        <v>32</v>
      </c>
      <c r="B5">
        <v>22000</v>
      </c>
      <c r="C5">
        <v>10</v>
      </c>
      <c r="D5">
        <v>700</v>
      </c>
      <c r="E5" s="14" t="str">
        <f t="shared" si="0"/>
        <v>Below 30,000</v>
      </c>
      <c r="H5" t="s">
        <v>33</v>
      </c>
      <c r="I5" s="8">
        <f>AVERAGE(B2:B13)</f>
        <v>30583.333333333332</v>
      </c>
      <c r="J5" t="s">
        <v>34</v>
      </c>
    </row>
    <row r="6" spans="1:16">
      <c r="A6" t="s">
        <v>35</v>
      </c>
      <c r="B6">
        <v>45000</v>
      </c>
      <c r="C6">
        <v>25</v>
      </c>
      <c r="D6">
        <v>1500</v>
      </c>
      <c r="E6" s="14" t="str">
        <f t="shared" si="0"/>
        <v>At/above 30,000</v>
      </c>
      <c r="H6" t="s">
        <v>36</v>
      </c>
      <c r="I6" s="25">
        <f>COUNT(B2:B13)</f>
        <v>12</v>
      </c>
      <c r="J6" t="s">
        <v>37</v>
      </c>
    </row>
    <row r="7" spans="1:16">
      <c r="A7" t="s">
        <v>38</v>
      </c>
      <c r="B7">
        <v>28000</v>
      </c>
      <c r="C7">
        <v>15</v>
      </c>
      <c r="D7">
        <v>900</v>
      </c>
      <c r="E7" s="14" t="str">
        <f t="shared" si="0"/>
        <v>Below 30,000</v>
      </c>
      <c r="H7" t="s">
        <v>39</v>
      </c>
      <c r="I7" s="25">
        <f>MIN(B2:B13)</f>
        <v>15000</v>
      </c>
      <c r="J7" t="s">
        <v>40</v>
      </c>
    </row>
    <row r="8" spans="1:16">
      <c r="A8" t="s">
        <v>41</v>
      </c>
      <c r="B8">
        <v>15000</v>
      </c>
      <c r="C8">
        <v>5</v>
      </c>
      <c r="D8">
        <v>500</v>
      </c>
      <c r="E8" s="14" t="str">
        <f t="shared" si="0"/>
        <v>Below 30,000</v>
      </c>
      <c r="H8" t="s">
        <v>42</v>
      </c>
      <c r="I8" s="25">
        <f>MAX(B2:B13)</f>
        <v>52000</v>
      </c>
      <c r="J8" t="s">
        <v>43</v>
      </c>
    </row>
    <row r="9" spans="1:16">
      <c r="A9" t="s">
        <v>44</v>
      </c>
      <c r="B9">
        <v>36000</v>
      </c>
      <c r="C9">
        <v>20</v>
      </c>
      <c r="D9">
        <v>1200</v>
      </c>
      <c r="E9" s="14" t="str">
        <f t="shared" si="0"/>
        <v>At/above 30,000</v>
      </c>
      <c r="H9" t="s">
        <v>45</v>
      </c>
      <c r="I9" s="25">
        <f>MEDIAN(B2:B13)</f>
        <v>29000</v>
      </c>
      <c r="J9" s="25" t="s">
        <v>46</v>
      </c>
    </row>
    <row r="10" spans="1:16">
      <c r="A10" t="s">
        <v>47</v>
      </c>
      <c r="B10">
        <v>30000</v>
      </c>
      <c r="C10">
        <v>16</v>
      </c>
      <c r="D10">
        <v>1000</v>
      </c>
      <c r="E10" s="14" t="str">
        <f t="shared" si="0"/>
        <v>At/above 30,000</v>
      </c>
      <c r="H10" s="7"/>
      <c r="I10" s="7"/>
      <c r="J10" s="7"/>
    </row>
    <row r="11" spans="1:16">
      <c r="A11" t="s">
        <v>48</v>
      </c>
      <c r="B11">
        <v>52000</v>
      </c>
      <c r="C11">
        <v>30</v>
      </c>
      <c r="D11">
        <v>1800</v>
      </c>
      <c r="E11" s="14" t="str">
        <f t="shared" si="0"/>
        <v>At/above 30,000</v>
      </c>
      <c r="H11" s="61" t="s">
        <v>49</v>
      </c>
      <c r="I11" s="61"/>
      <c r="J11" s="61"/>
    </row>
    <row r="12" spans="1:16">
      <c r="A12" t="s">
        <v>50</v>
      </c>
      <c r="B12">
        <v>24000</v>
      </c>
      <c r="C12">
        <v>11</v>
      </c>
      <c r="D12">
        <v>750</v>
      </c>
      <c r="E12" s="14" t="str">
        <f t="shared" si="0"/>
        <v>Below 30,000</v>
      </c>
      <c r="H12" s="61"/>
      <c r="I12" s="61"/>
      <c r="J12" s="61"/>
    </row>
    <row r="13" spans="1:16">
      <c r="A13" t="s">
        <v>51</v>
      </c>
      <c r="B13">
        <v>40000</v>
      </c>
      <c r="C13">
        <v>22</v>
      </c>
      <c r="D13">
        <v>1300</v>
      </c>
      <c r="E13" s="14" t="str">
        <f t="shared" si="0"/>
        <v>At/above 30,000</v>
      </c>
      <c r="H13" s="61"/>
      <c r="I13" s="61"/>
      <c r="J13" s="61"/>
    </row>
    <row r="16" spans="1:16">
      <c r="H16" s="4" t="s">
        <v>52</v>
      </c>
      <c r="I16" t="s">
        <v>53</v>
      </c>
      <c r="P16" s="6"/>
    </row>
    <row r="17" spans="2:10">
      <c r="H17" s="62" t="s">
        <v>54</v>
      </c>
      <c r="I17" s="62"/>
      <c r="J17" s="62"/>
    </row>
    <row r="18" spans="2:10" ht="15.75">
      <c r="B18" s="50" t="s">
        <v>55</v>
      </c>
      <c r="C18" s="51"/>
      <c r="H18" s="62"/>
      <c r="I18" s="62"/>
      <c r="J18" s="62"/>
    </row>
    <row r="20" spans="2:10">
      <c r="H20" s="10" t="s">
        <v>56</v>
      </c>
    </row>
    <row r="21" spans="2:10">
      <c r="H21" s="9" t="s">
        <v>57</v>
      </c>
    </row>
    <row r="22" spans="2:10">
      <c r="H22" s="9"/>
    </row>
    <row r="23" spans="2:10">
      <c r="H23" t="s">
        <v>58</v>
      </c>
    </row>
    <row r="24" spans="2:10" ht="15" customHeight="1">
      <c r="H24" s="60" t="s">
        <v>59</v>
      </c>
      <c r="I24" s="60"/>
      <c r="J24" s="60"/>
    </row>
    <row r="25" spans="2:10">
      <c r="H25" s="60"/>
      <c r="I25" s="60"/>
      <c r="J25" s="60"/>
    </row>
    <row r="26" spans="2:10">
      <c r="H26" s="60"/>
      <c r="I26" s="60"/>
      <c r="J26" s="60"/>
    </row>
  </sheetData>
  <mergeCells count="4">
    <mergeCell ref="H24:J26"/>
    <mergeCell ref="H11:J13"/>
    <mergeCell ref="H17:J18"/>
    <mergeCell ref="B18:C1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E6BF1-5B21-4366-9BE1-BE592D9A30B0}">
  <dimension ref="A1:I28"/>
  <sheetViews>
    <sheetView workbookViewId="0">
      <selection activeCell="H4" sqref="H4"/>
    </sheetView>
  </sheetViews>
  <sheetFormatPr defaultRowHeight="15"/>
  <cols>
    <col min="1" max="1" width="22.5703125" bestFit="1" customWidth="1"/>
    <col min="2" max="2" width="14" bestFit="1" customWidth="1"/>
  </cols>
  <sheetData>
    <row r="1" spans="1:9">
      <c r="A1" s="4" t="s">
        <v>60</v>
      </c>
      <c r="B1" s="4" t="s">
        <v>27</v>
      </c>
    </row>
    <row r="2" spans="1:9">
      <c r="A2" t="s">
        <v>61</v>
      </c>
      <c r="B2" s="11">
        <f>SUM(Day3_Practice!B2:B13)</f>
        <v>367000</v>
      </c>
    </row>
    <row r="3" spans="1:9">
      <c r="A3" t="s">
        <v>62</v>
      </c>
      <c r="B3" s="13">
        <f>AVERAGE(Day3_Practice!B2:B13)</f>
        <v>30583.333333333332</v>
      </c>
    </row>
    <row r="4" spans="1:9" ht="15.75">
      <c r="A4" t="s">
        <v>63</v>
      </c>
      <c r="B4" s="12">
        <f>COUNT(Day3_Practice!B2:B13)</f>
        <v>12</v>
      </c>
      <c r="D4" s="24"/>
      <c r="E4" s="50" t="s">
        <v>55</v>
      </c>
      <c r="F4" s="50"/>
      <c r="G4" s="50"/>
    </row>
    <row r="5" spans="1:9">
      <c r="A5" t="s">
        <v>64</v>
      </c>
      <c r="B5" s="11">
        <f>MIN(Day3_Practice!B2:B13)</f>
        <v>15000</v>
      </c>
    </row>
    <row r="6" spans="1:9">
      <c r="A6" t="s">
        <v>65</v>
      </c>
      <c r="B6" s="11">
        <f>MAX(Day3_Practice!B2:B13)</f>
        <v>52000</v>
      </c>
    </row>
    <row r="7" spans="1:9">
      <c r="A7" t="s">
        <v>66</v>
      </c>
      <c r="B7" s="11">
        <f>MEDIAN(Day3_Practice!B2:B13)</f>
        <v>29000</v>
      </c>
    </row>
    <row r="10" spans="1:9">
      <c r="A10" s="16" t="s">
        <v>67</v>
      </c>
    </row>
    <row r="11" spans="1:9" ht="15" customHeight="1">
      <c r="A11" s="63" t="s">
        <v>68</v>
      </c>
      <c r="B11" s="35"/>
      <c r="C11" s="35"/>
      <c r="D11" s="35"/>
      <c r="E11" s="35"/>
      <c r="F11" s="35"/>
      <c r="G11" s="35"/>
      <c r="H11" s="35"/>
      <c r="I11" s="35"/>
    </row>
    <row r="12" spans="1:9">
      <c r="A12" s="35"/>
      <c r="B12" s="35"/>
      <c r="C12" s="35"/>
      <c r="D12" s="35"/>
      <c r="E12" s="35"/>
      <c r="F12" s="35"/>
      <c r="G12" s="35"/>
      <c r="H12" s="35"/>
      <c r="I12" s="35"/>
    </row>
    <row r="13" spans="1:9">
      <c r="A13" s="35"/>
      <c r="B13" s="35"/>
      <c r="C13" s="35"/>
      <c r="D13" s="35"/>
      <c r="E13" s="35"/>
      <c r="F13" s="35"/>
      <c r="G13" s="35"/>
      <c r="H13" s="35"/>
      <c r="I13" s="35"/>
    </row>
    <row r="14" spans="1:9">
      <c r="A14" s="35"/>
      <c r="B14" s="35"/>
      <c r="C14" s="35"/>
      <c r="D14" s="35"/>
      <c r="E14" s="35"/>
      <c r="F14" s="35"/>
      <c r="G14" s="35"/>
      <c r="H14" s="35"/>
      <c r="I14" s="35"/>
    </row>
    <row r="15" spans="1:9">
      <c r="A15" s="35"/>
      <c r="B15" s="35"/>
      <c r="C15" s="35"/>
      <c r="D15" s="35"/>
      <c r="E15" s="35"/>
      <c r="F15" s="35"/>
      <c r="G15" s="35"/>
      <c r="H15" s="35"/>
      <c r="I15" s="35"/>
    </row>
    <row r="17" spans="1:9">
      <c r="A17" s="17" t="s">
        <v>69</v>
      </c>
      <c r="B17" s="17"/>
      <c r="C17" s="17"/>
      <c r="D17" s="17"/>
      <c r="E17" s="17"/>
      <c r="F17" s="17"/>
    </row>
    <row r="18" spans="1:9" ht="15" customHeight="1">
      <c r="A18" s="63" t="s">
        <v>70</v>
      </c>
      <c r="B18" s="35"/>
      <c r="C18" s="35"/>
      <c r="D18" s="35"/>
      <c r="E18" s="35"/>
      <c r="F18" s="35"/>
      <c r="G18" s="35"/>
      <c r="H18" s="35"/>
      <c r="I18" s="35"/>
    </row>
    <row r="19" spans="1:9">
      <c r="A19" s="35"/>
      <c r="B19" s="35"/>
      <c r="C19" s="35"/>
      <c r="D19" s="35"/>
      <c r="E19" s="35"/>
      <c r="F19" s="35"/>
      <c r="G19" s="35"/>
      <c r="H19" s="35"/>
      <c r="I19" s="35"/>
    </row>
    <row r="20" spans="1:9">
      <c r="A20" s="35"/>
      <c r="B20" s="35"/>
      <c r="C20" s="35"/>
      <c r="D20" s="35"/>
      <c r="E20" s="35"/>
      <c r="F20" s="35"/>
      <c r="G20" s="35"/>
      <c r="H20" s="35"/>
      <c r="I20" s="35"/>
    </row>
    <row r="21" spans="1:9">
      <c r="A21" s="35"/>
      <c r="B21" s="35"/>
      <c r="C21" s="35"/>
      <c r="D21" s="35"/>
      <c r="E21" s="35"/>
      <c r="F21" s="35"/>
      <c r="G21" s="35"/>
      <c r="H21" s="35"/>
      <c r="I21" s="35"/>
    </row>
    <row r="23" spans="1:9">
      <c r="A23" s="17" t="s">
        <v>71</v>
      </c>
      <c r="B23" s="17"/>
      <c r="C23" s="17"/>
      <c r="D23" s="17"/>
      <c r="E23" s="17"/>
      <c r="F23" s="17"/>
      <c r="G23" s="17"/>
    </row>
    <row r="24" spans="1:9">
      <c r="A24" s="63" t="s">
        <v>72</v>
      </c>
      <c r="B24" s="35"/>
      <c r="C24" s="35"/>
      <c r="D24" s="35"/>
      <c r="E24" s="35"/>
      <c r="F24" s="35"/>
      <c r="G24" s="35"/>
      <c r="H24" s="35"/>
      <c r="I24" s="35"/>
    </row>
    <row r="25" spans="1:9">
      <c r="A25" s="35"/>
      <c r="B25" s="35"/>
      <c r="C25" s="35"/>
      <c r="D25" s="35"/>
      <c r="E25" s="35"/>
      <c r="F25" s="35"/>
      <c r="G25" s="35"/>
      <c r="H25" s="35"/>
      <c r="I25" s="35"/>
    </row>
    <row r="26" spans="1:9">
      <c r="A26" s="35"/>
      <c r="B26" s="35"/>
      <c r="C26" s="35"/>
      <c r="D26" s="35"/>
      <c r="E26" s="35"/>
      <c r="F26" s="35"/>
      <c r="G26" s="35"/>
      <c r="H26" s="35"/>
      <c r="I26" s="35"/>
    </row>
    <row r="27" spans="1:9">
      <c r="A27" s="35"/>
      <c r="B27" s="35"/>
      <c r="C27" s="35"/>
      <c r="D27" s="35"/>
      <c r="E27" s="35"/>
      <c r="F27" s="35"/>
      <c r="G27" s="35"/>
      <c r="H27" s="35"/>
      <c r="I27" s="35"/>
    </row>
    <row r="28" spans="1:9">
      <c r="A28" s="35"/>
      <c r="B28" s="35"/>
      <c r="C28" s="35"/>
      <c r="D28" s="35"/>
      <c r="E28" s="35"/>
      <c r="F28" s="35"/>
      <c r="G28" s="35"/>
      <c r="H28" s="35"/>
      <c r="I28" s="35"/>
    </row>
  </sheetData>
  <mergeCells count="4">
    <mergeCell ref="A11:I15"/>
    <mergeCell ref="A18:I21"/>
    <mergeCell ref="A24:I28"/>
    <mergeCell ref="E4:G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7AE08-F1E2-4317-8AB6-8518BE65A4BB}">
  <dimension ref="A1:O43"/>
  <sheetViews>
    <sheetView topLeftCell="B1" workbookViewId="0">
      <selection activeCell="M9" sqref="M9:M10"/>
    </sheetView>
  </sheetViews>
  <sheetFormatPr defaultRowHeight="15"/>
  <cols>
    <col min="1" max="1" width="7.28515625" customWidth="1"/>
    <col min="2" max="2" width="13.7109375" customWidth="1"/>
    <col min="3" max="3" width="16.28515625" bestFit="1" customWidth="1"/>
    <col min="4" max="4" width="22.7109375" customWidth="1"/>
    <col min="5" max="5" width="20" style="19" customWidth="1"/>
    <col min="8" max="8" width="10.7109375" customWidth="1"/>
    <col min="9" max="9" width="15.42578125" customWidth="1"/>
    <col min="10" max="10" width="12.5703125" customWidth="1"/>
    <col min="11" max="11" width="14.7109375" customWidth="1"/>
  </cols>
  <sheetData>
    <row r="1" spans="1:15">
      <c r="A1" s="4" t="s">
        <v>73</v>
      </c>
      <c r="B1" s="4" t="s">
        <v>74</v>
      </c>
      <c r="C1" s="4" t="s">
        <v>75</v>
      </c>
      <c r="D1" s="4" t="s">
        <v>76</v>
      </c>
      <c r="E1" s="18" t="s">
        <v>77</v>
      </c>
      <c r="H1" s="29" t="s">
        <v>78</v>
      </c>
      <c r="I1" s="4"/>
      <c r="J1" s="4"/>
      <c r="K1" s="4"/>
      <c r="L1" s="4" t="s">
        <v>28</v>
      </c>
    </row>
    <row r="2" spans="1:15">
      <c r="A2" s="25">
        <v>101</v>
      </c>
      <c r="B2" t="s">
        <v>79</v>
      </c>
      <c r="C2" s="25">
        <v>80</v>
      </c>
      <c r="D2" s="25">
        <v>30000</v>
      </c>
      <c r="E2" s="26" t="s">
        <v>80</v>
      </c>
      <c r="H2" s="4" t="s">
        <v>81</v>
      </c>
      <c r="I2" s="10" t="s">
        <v>82</v>
      </c>
      <c r="J2" s="10"/>
      <c r="L2" t="s">
        <v>83</v>
      </c>
    </row>
    <row r="3" spans="1:15">
      <c r="A3" s="25">
        <v>102</v>
      </c>
      <c r="B3" t="s">
        <v>84</v>
      </c>
      <c r="C3" s="25">
        <v>65</v>
      </c>
      <c r="D3" s="25">
        <v>24000</v>
      </c>
      <c r="E3" s="26" t="s">
        <v>80</v>
      </c>
    </row>
    <row r="4" spans="1:15">
      <c r="A4" s="25">
        <v>103</v>
      </c>
      <c r="B4" t="s">
        <v>85</v>
      </c>
      <c r="C4" s="25">
        <v>45</v>
      </c>
      <c r="D4" s="25">
        <v>18000</v>
      </c>
      <c r="E4" s="26" t="s">
        <v>86</v>
      </c>
      <c r="H4" s="48" t="s">
        <v>87</v>
      </c>
      <c r="I4" s="48"/>
      <c r="J4" s="21" t="s">
        <v>88</v>
      </c>
      <c r="K4" s="21"/>
      <c r="L4" s="21"/>
      <c r="M4" s="21" t="s">
        <v>27</v>
      </c>
    </row>
    <row r="5" spans="1:15">
      <c r="A5" s="25">
        <v>104</v>
      </c>
      <c r="B5" t="s">
        <v>79</v>
      </c>
      <c r="C5" s="25">
        <v>90</v>
      </c>
      <c r="D5" s="25">
        <v>35000</v>
      </c>
      <c r="E5" s="26" t="s">
        <v>80</v>
      </c>
      <c r="G5">
        <v>1</v>
      </c>
      <c r="H5" t="s">
        <v>89</v>
      </c>
      <c r="J5" s="10" t="s">
        <v>90</v>
      </c>
      <c r="M5">
        <f>SUMIF(B2:B11,"Dhaka",D2:D11)</f>
        <v>97000</v>
      </c>
    </row>
    <row r="6" spans="1:15">
      <c r="A6" s="25">
        <v>105</v>
      </c>
      <c r="B6" t="s">
        <v>91</v>
      </c>
      <c r="C6" s="25">
        <v>55</v>
      </c>
      <c r="D6" s="25">
        <v>20000</v>
      </c>
      <c r="E6" s="26" t="s">
        <v>86</v>
      </c>
      <c r="G6">
        <v>2</v>
      </c>
      <c r="H6" t="s">
        <v>92</v>
      </c>
      <c r="J6" s="10" t="s">
        <v>93</v>
      </c>
      <c r="M6">
        <f>SUMIF(B2:B11,"Chattogram",D2:D11)</f>
        <v>69000</v>
      </c>
    </row>
    <row r="7" spans="1:15">
      <c r="A7" s="25">
        <v>106</v>
      </c>
      <c r="B7" t="s">
        <v>84</v>
      </c>
      <c r="C7" s="25">
        <v>70</v>
      </c>
      <c r="D7" s="25">
        <v>26000</v>
      </c>
      <c r="E7" s="26" t="s">
        <v>80</v>
      </c>
      <c r="G7">
        <v>3</v>
      </c>
      <c r="H7" s="39" t="s">
        <v>94</v>
      </c>
      <c r="I7" s="39"/>
      <c r="J7" s="52" t="s">
        <v>95</v>
      </c>
      <c r="K7" s="53"/>
      <c r="L7" s="33"/>
      <c r="M7" s="34">
        <f>SUMIF(E2:E11,"Yes",D2:D11)</f>
        <v>169000</v>
      </c>
    </row>
    <row r="8" spans="1:15">
      <c r="A8" s="25">
        <v>107</v>
      </c>
      <c r="B8" t="s">
        <v>85</v>
      </c>
      <c r="C8" s="25">
        <v>40</v>
      </c>
      <c r="D8" s="25">
        <v>16000</v>
      </c>
      <c r="E8" s="26" t="s">
        <v>86</v>
      </c>
      <c r="H8" s="39"/>
      <c r="I8" s="39"/>
      <c r="J8" s="53"/>
      <c r="K8" s="53"/>
      <c r="L8" s="33"/>
      <c r="M8" s="34"/>
    </row>
    <row r="9" spans="1:15">
      <c r="A9" s="25">
        <v>108</v>
      </c>
      <c r="B9" t="s">
        <v>79</v>
      </c>
      <c r="C9" s="25">
        <v>85</v>
      </c>
      <c r="D9" s="25">
        <v>32000</v>
      </c>
      <c r="E9" s="26" t="s">
        <v>80</v>
      </c>
      <c r="G9">
        <v>4</v>
      </c>
      <c r="H9" s="35" t="s">
        <v>96</v>
      </c>
      <c r="I9" s="35"/>
      <c r="J9" s="36" t="s">
        <v>97</v>
      </c>
      <c r="K9" s="37"/>
      <c r="L9" s="33"/>
      <c r="M9" s="33">
        <f>SUMIF(D2:D11,"&gt;25000")</f>
        <v>123000</v>
      </c>
    </row>
    <row r="10" spans="1:15">
      <c r="A10" s="25">
        <v>109</v>
      </c>
      <c r="B10" t="s">
        <v>91</v>
      </c>
      <c r="C10" s="25">
        <v>60</v>
      </c>
      <c r="D10" s="25">
        <v>22000</v>
      </c>
      <c r="E10" s="26" t="s">
        <v>80</v>
      </c>
      <c r="H10" s="35"/>
      <c r="I10" s="35"/>
      <c r="J10" s="37"/>
      <c r="K10" s="37"/>
      <c r="L10" s="33"/>
      <c r="M10" s="33"/>
    </row>
    <row r="11" spans="1:15">
      <c r="A11" s="25">
        <v>110</v>
      </c>
      <c r="B11" t="s">
        <v>84</v>
      </c>
      <c r="C11" s="25">
        <v>50</v>
      </c>
      <c r="D11" s="25">
        <v>19000</v>
      </c>
      <c r="E11" s="26" t="s">
        <v>86</v>
      </c>
      <c r="G11">
        <v>5</v>
      </c>
      <c r="H11" t="s">
        <v>98</v>
      </c>
      <c r="J11" s="38" t="s">
        <v>99</v>
      </c>
      <c r="K11" s="33"/>
      <c r="M11">
        <f>SUMIF(B2:B11,"Dhaka",C2:C11)</f>
        <v>255</v>
      </c>
    </row>
    <row r="13" spans="1:15" ht="15.75">
      <c r="C13" s="50" t="s">
        <v>55</v>
      </c>
      <c r="D13" s="51"/>
      <c r="E13" s="26"/>
    </row>
    <row r="14" spans="1:15" ht="15.75">
      <c r="C14" s="31"/>
      <c r="D14" s="32"/>
      <c r="E14" s="26"/>
    </row>
    <row r="15" spans="1:15">
      <c r="B15" s="56" t="s">
        <v>78</v>
      </c>
      <c r="C15" s="56"/>
      <c r="E15" s="4" t="s">
        <v>28</v>
      </c>
      <c r="H15" s="29" t="s">
        <v>78</v>
      </c>
      <c r="I15" s="4"/>
      <c r="J15" s="4"/>
      <c r="K15" s="4"/>
      <c r="L15" s="4" t="s">
        <v>28</v>
      </c>
    </row>
    <row r="16" spans="1:15" ht="15" customHeight="1">
      <c r="B16" s="4" t="s">
        <v>100</v>
      </c>
      <c r="C16" s="10" t="s">
        <v>101</v>
      </c>
      <c r="E16" t="s">
        <v>102</v>
      </c>
      <c r="H16" s="4" t="s">
        <v>103</v>
      </c>
      <c r="I16" s="40" t="s">
        <v>104</v>
      </c>
      <c r="J16" s="40"/>
      <c r="K16" s="40"/>
      <c r="L16" s="43" t="s">
        <v>105</v>
      </c>
      <c r="M16" s="43"/>
      <c r="N16" s="43"/>
      <c r="O16" s="43"/>
    </row>
    <row r="17" spans="1:15">
      <c r="C17" s="10"/>
      <c r="E17"/>
      <c r="I17" s="40"/>
      <c r="J17" s="40"/>
      <c r="K17" s="40"/>
      <c r="L17" s="43"/>
      <c r="M17" s="43"/>
      <c r="N17" s="43"/>
      <c r="O17" s="43"/>
    </row>
    <row r="18" spans="1:15">
      <c r="B18" s="21" t="s">
        <v>106</v>
      </c>
      <c r="C18" s="21"/>
      <c r="D18" s="21" t="s">
        <v>88</v>
      </c>
      <c r="E18" s="22"/>
      <c r="F18" s="21" t="s">
        <v>27</v>
      </c>
    </row>
    <row r="19" spans="1:15">
      <c r="A19">
        <v>1</v>
      </c>
      <c r="B19" t="s">
        <v>107</v>
      </c>
      <c r="D19" s="10" t="s">
        <v>108</v>
      </c>
      <c r="E19" s="26"/>
      <c r="F19" s="23">
        <f>COUNTIF(B2:B11,"Dhaka")</f>
        <v>3</v>
      </c>
      <c r="H19" s="48" t="s">
        <v>106</v>
      </c>
      <c r="I19" s="48"/>
      <c r="J19" s="21" t="s">
        <v>88</v>
      </c>
      <c r="K19" s="21"/>
      <c r="L19" s="21"/>
      <c r="M19" s="21" t="s">
        <v>27</v>
      </c>
    </row>
    <row r="20" spans="1:15">
      <c r="A20">
        <v>2</v>
      </c>
      <c r="B20" s="39" t="s">
        <v>109</v>
      </c>
      <c r="C20" s="39"/>
      <c r="D20" s="36" t="s">
        <v>110</v>
      </c>
      <c r="E20" s="42"/>
      <c r="F20" s="57">
        <f>COUNTIF(E2:E11,"Yes")</f>
        <v>6</v>
      </c>
      <c r="G20">
        <v>1</v>
      </c>
      <c r="H20" s="43" t="s">
        <v>111</v>
      </c>
      <c r="I20" s="43"/>
      <c r="J20" s="49" t="s">
        <v>112</v>
      </c>
      <c r="K20" s="43"/>
      <c r="L20" s="33"/>
      <c r="M20" s="42">
        <f>COUNTIFS(B2:B11,"Chattogram",E2:E11,"Yes")</f>
        <v>2</v>
      </c>
    </row>
    <row r="21" spans="1:15">
      <c r="B21" s="39"/>
      <c r="C21" s="39"/>
      <c r="D21" s="36"/>
      <c r="E21" s="42"/>
      <c r="F21" s="57"/>
      <c r="H21" s="43"/>
      <c r="I21" s="43"/>
      <c r="J21" s="43"/>
      <c r="K21" s="43"/>
      <c r="L21" s="33"/>
      <c r="M21" s="42"/>
    </row>
    <row r="22" spans="1:15">
      <c r="A22">
        <v>3</v>
      </c>
      <c r="B22" s="39" t="s">
        <v>113</v>
      </c>
      <c r="C22" s="39"/>
      <c r="D22" s="54" t="s">
        <v>114</v>
      </c>
      <c r="E22" s="42"/>
      <c r="F22" s="42">
        <f>COUNTIF(D2:D11,"&gt;25000")</f>
        <v>4</v>
      </c>
      <c r="H22" s="43"/>
      <c r="I22" s="43"/>
      <c r="J22" s="43"/>
      <c r="K22" s="43"/>
      <c r="L22" s="33"/>
      <c r="M22" s="42"/>
    </row>
    <row r="23" spans="1:15">
      <c r="B23" s="39"/>
      <c r="C23" s="39"/>
      <c r="D23" s="55"/>
      <c r="E23" s="42"/>
      <c r="F23" s="42"/>
      <c r="G23">
        <v>2</v>
      </c>
      <c r="H23" s="35" t="s">
        <v>115</v>
      </c>
      <c r="I23" s="35"/>
      <c r="J23" s="45" t="s">
        <v>116</v>
      </c>
      <c r="K23" s="45"/>
      <c r="L23" s="58"/>
      <c r="M23" s="42">
        <f>COUNTIFS(B2:B11,"Dhaka",E2:E11,"Yes")</f>
        <v>3</v>
      </c>
    </row>
    <row r="24" spans="1:15">
      <c r="A24">
        <v>4</v>
      </c>
      <c r="B24" s="39" t="s">
        <v>117</v>
      </c>
      <c r="C24" s="39"/>
      <c r="D24" s="52" t="s">
        <v>118</v>
      </c>
      <c r="E24" s="42"/>
      <c r="F24" s="42">
        <f>COUNTIF(E2:E11,"No")</f>
        <v>4</v>
      </c>
      <c r="H24" s="35"/>
      <c r="I24" s="35"/>
      <c r="J24" s="45"/>
      <c r="K24" s="45"/>
      <c r="L24" s="58"/>
      <c r="M24" s="42"/>
    </row>
    <row r="25" spans="1:15">
      <c r="B25" s="39"/>
      <c r="C25" s="39"/>
      <c r="D25" s="52"/>
      <c r="E25" s="42"/>
      <c r="F25" s="42"/>
      <c r="G25">
        <v>3</v>
      </c>
      <c r="H25" s="39" t="s">
        <v>119</v>
      </c>
      <c r="I25" s="39"/>
      <c r="J25" s="46" t="s">
        <v>120</v>
      </c>
      <c r="K25" s="47"/>
      <c r="M25" s="42">
        <f>COUNTIFS(D2:D11,"&gt;20000",E2:E11,"Yes")</f>
        <v>6</v>
      </c>
    </row>
    <row r="26" spans="1:15">
      <c r="A26">
        <v>5</v>
      </c>
      <c r="B26" s="39" t="s">
        <v>121</v>
      </c>
      <c r="C26" s="39"/>
      <c r="D26" s="40" t="s">
        <v>122</v>
      </c>
      <c r="E26" s="42"/>
      <c r="F26" s="42">
        <f>COUNTIF(D2:D10,"&lt;20000")</f>
        <v>2</v>
      </c>
      <c r="H26" s="39"/>
      <c r="I26" s="39"/>
      <c r="J26" s="47"/>
      <c r="K26" s="47"/>
      <c r="M26" s="42"/>
    </row>
    <row r="27" spans="1:15">
      <c r="B27" s="39"/>
      <c r="C27" s="39"/>
      <c r="D27" s="41"/>
      <c r="E27" s="42"/>
      <c r="F27" s="42"/>
      <c r="G27">
        <v>4</v>
      </c>
      <c r="H27" s="43" t="s">
        <v>123</v>
      </c>
      <c r="I27" s="43"/>
      <c r="J27" s="44" t="s">
        <v>124</v>
      </c>
      <c r="K27" s="39"/>
      <c r="M27" s="42">
        <f>COUNTIFS(B2:B11,"Rajshahi",E2:E11,"No")</f>
        <v>2</v>
      </c>
    </row>
    <row r="28" spans="1:15">
      <c r="E28" s="26"/>
      <c r="H28" s="43"/>
      <c r="I28" s="43"/>
      <c r="J28" s="39"/>
      <c r="K28" s="39"/>
      <c r="M28" s="42"/>
    </row>
    <row r="29" spans="1:15">
      <c r="E29" s="26"/>
    </row>
    <row r="30" spans="1:15">
      <c r="E30" s="26"/>
    </row>
    <row r="31" spans="1:15">
      <c r="B31" s="29" t="s">
        <v>78</v>
      </c>
      <c r="C31" s="4"/>
      <c r="D31" s="4"/>
      <c r="E31" s="4" t="s">
        <v>28</v>
      </c>
      <c r="H31" s="4" t="s">
        <v>88</v>
      </c>
      <c r="L31" s="4" t="s">
        <v>28</v>
      </c>
    </row>
    <row r="32" spans="1:15">
      <c r="B32" s="4" t="s">
        <v>125</v>
      </c>
      <c r="C32" s="46" t="s">
        <v>126</v>
      </c>
      <c r="D32" s="46"/>
      <c r="E32" s="39" t="s">
        <v>127</v>
      </c>
      <c r="F32" s="39"/>
      <c r="H32" s="4" t="s">
        <v>128</v>
      </c>
      <c r="I32" s="46" t="s">
        <v>129</v>
      </c>
      <c r="J32" s="46"/>
      <c r="K32" s="46"/>
      <c r="L32" s="39" t="s">
        <v>130</v>
      </c>
      <c r="M32" s="39"/>
      <c r="N32" s="39"/>
      <c r="O32" s="39"/>
    </row>
    <row r="33" spans="1:15">
      <c r="C33" s="46"/>
      <c r="D33" s="46"/>
      <c r="E33" s="39"/>
      <c r="F33" s="39"/>
      <c r="I33" s="46"/>
      <c r="J33" s="46"/>
      <c r="K33" s="46"/>
      <c r="L33" s="39"/>
      <c r="M33" s="39"/>
      <c r="N33" s="39"/>
      <c r="O33" s="39"/>
    </row>
    <row r="34" spans="1:15">
      <c r="C34" s="28"/>
      <c r="D34" s="28"/>
      <c r="E34" s="26"/>
    </row>
    <row r="35" spans="1:15">
      <c r="B35" s="48" t="s">
        <v>106</v>
      </c>
      <c r="C35" s="48"/>
      <c r="D35" s="21" t="s">
        <v>88</v>
      </c>
      <c r="E35" s="21"/>
      <c r="F35" s="21" t="s">
        <v>27</v>
      </c>
      <c r="H35" s="48" t="s">
        <v>106</v>
      </c>
      <c r="I35" s="48"/>
      <c r="J35" s="21" t="s">
        <v>88</v>
      </c>
      <c r="K35" s="21"/>
      <c r="L35" s="21"/>
      <c r="M35" s="21" t="s">
        <v>27</v>
      </c>
    </row>
    <row r="36" spans="1:15">
      <c r="A36">
        <v>1</v>
      </c>
      <c r="B36" s="35" t="s">
        <v>131</v>
      </c>
      <c r="C36" s="35"/>
      <c r="D36" s="44" t="s">
        <v>132</v>
      </c>
      <c r="E36" s="42"/>
      <c r="F36" s="42">
        <f>SUMIFS(D2:D11,B2:B11,"Chattogram",E2:E11,"Yes")</f>
        <v>50000</v>
      </c>
      <c r="G36">
        <v>1</v>
      </c>
      <c r="H36" s="43" t="s">
        <v>133</v>
      </c>
      <c r="I36" s="43"/>
      <c r="J36" s="49" t="s">
        <v>134</v>
      </c>
      <c r="K36" s="49"/>
      <c r="M36" s="42">
        <f>_xlfn.XLOOKUP(104,A2:A11,D2:D11,"Not Found")</f>
        <v>35000</v>
      </c>
    </row>
    <row r="37" spans="1:15">
      <c r="B37" s="35"/>
      <c r="C37" s="35"/>
      <c r="D37" s="39"/>
      <c r="E37" s="42"/>
      <c r="F37" s="42"/>
      <c r="H37" s="43"/>
      <c r="I37" s="43"/>
      <c r="J37" s="49"/>
      <c r="K37" s="49"/>
      <c r="M37" s="42"/>
    </row>
    <row r="38" spans="1:15">
      <c r="B38" s="35"/>
      <c r="C38" s="35"/>
      <c r="D38" s="39"/>
      <c r="E38" s="42"/>
      <c r="F38" s="42"/>
      <c r="G38">
        <v>2</v>
      </c>
      <c r="H38" t="s">
        <v>135</v>
      </c>
      <c r="J38" s="10" t="s">
        <v>136</v>
      </c>
      <c r="M38" cm="1">
        <f t="array" aca="1" ref="M38" ca="1">_xlfn.XLOOKUP(101,A2:A11,D2:D11,Null)</f>
        <v>30000</v>
      </c>
    </row>
    <row r="39" spans="1:15">
      <c r="A39">
        <v>2</v>
      </c>
      <c r="B39" s="35" t="s">
        <v>137</v>
      </c>
      <c r="C39" s="35"/>
      <c r="D39" s="52" t="s">
        <v>138</v>
      </c>
      <c r="E39" s="52"/>
      <c r="F39" s="42">
        <f>SUMIFS(D2:D11,B2:B11,"Dhaka",E2:E11,"Yes")</f>
        <v>97000</v>
      </c>
      <c r="G39">
        <v>3</v>
      </c>
      <c r="H39" t="s">
        <v>139</v>
      </c>
      <c r="J39" s="10" t="s">
        <v>140</v>
      </c>
      <c r="M39" t="str" cm="1">
        <f t="array" aca="1" ref="M39" ca="1">_xlfn.XLOOKUP(106,A2:A11,B2:B11,Null)</f>
        <v>Chattogram</v>
      </c>
    </row>
    <row r="40" spans="1:15">
      <c r="B40" s="35"/>
      <c r="C40" s="35"/>
      <c r="D40" s="52"/>
      <c r="E40" s="52"/>
      <c r="F40" s="42"/>
      <c r="G40">
        <v>4</v>
      </c>
      <c r="H40" s="39" t="s">
        <v>141</v>
      </c>
      <c r="I40" s="39"/>
      <c r="J40" s="44" t="s">
        <v>142</v>
      </c>
      <c r="K40" s="44"/>
      <c r="L40" s="33"/>
      <c r="M40" s="42" t="str" cm="1">
        <f t="array" aca="1" ref="M40" ca="1">_xlfn.XLOOKUP(107,A2:A11,E2:E11,Null)</f>
        <v>No</v>
      </c>
    </row>
    <row r="41" spans="1:15">
      <c r="A41">
        <v>3</v>
      </c>
      <c r="B41" t="s">
        <v>143</v>
      </c>
      <c r="D41" s="10" t="s">
        <v>144</v>
      </c>
      <c r="E41" s="26"/>
      <c r="F41" s="26">
        <f>SUMIFS(D2:D11,B2:B11,"Khulna",E2:E11,"No")</f>
        <v>20000</v>
      </c>
      <c r="H41" s="39"/>
      <c r="I41" s="39"/>
      <c r="J41" s="44"/>
      <c r="K41" s="44"/>
      <c r="L41" s="33"/>
      <c r="M41" s="42"/>
    </row>
    <row r="42" spans="1:15">
      <c r="A42">
        <v>4</v>
      </c>
      <c r="B42" s="39" t="s">
        <v>145</v>
      </c>
      <c r="C42" s="39"/>
      <c r="D42" s="45" t="s">
        <v>146</v>
      </c>
      <c r="E42" s="45"/>
      <c r="F42" s="42">
        <f>SUMIFS(C2:C11,B2:B11,"Chattogram",E2:E11,"Yes")</f>
        <v>135</v>
      </c>
      <c r="G42">
        <v>5</v>
      </c>
      <c r="H42" s="58" t="s">
        <v>147</v>
      </c>
      <c r="I42" s="58"/>
      <c r="J42" s="44" t="s">
        <v>148</v>
      </c>
      <c r="K42" s="44"/>
      <c r="M42" s="42" t="str">
        <f>_xlfn.XLOOKUP(999,A2:A11,D2:D11,"Not Found")</f>
        <v>Not Found</v>
      </c>
    </row>
    <row r="43" spans="1:15">
      <c r="B43" s="39"/>
      <c r="C43" s="39"/>
      <c r="D43" s="45"/>
      <c r="E43" s="45"/>
      <c r="F43" s="42"/>
      <c r="J43" s="44"/>
      <c r="K43" s="44"/>
      <c r="M43" s="42"/>
    </row>
  </sheetData>
  <mergeCells count="71">
    <mergeCell ref="H42:I42"/>
    <mergeCell ref="J42:K43"/>
    <mergeCell ref="M42:M43"/>
    <mergeCell ref="B42:C43"/>
    <mergeCell ref="D42:E43"/>
    <mergeCell ref="F42:F43"/>
    <mergeCell ref="E32:F33"/>
    <mergeCell ref="L16:O17"/>
    <mergeCell ref="L32:O33"/>
    <mergeCell ref="I32:K33"/>
    <mergeCell ref="H35:I35"/>
    <mergeCell ref="I16:K17"/>
    <mergeCell ref="E20:E21"/>
    <mergeCell ref="M27:M28"/>
    <mergeCell ref="M23:M24"/>
    <mergeCell ref="L23:L24"/>
    <mergeCell ref="M25:M26"/>
    <mergeCell ref="L20:L22"/>
    <mergeCell ref="M20:M22"/>
    <mergeCell ref="H36:I37"/>
    <mergeCell ref="J36:K37"/>
    <mergeCell ref="M36:M37"/>
    <mergeCell ref="H40:I41"/>
    <mergeCell ref="M40:M41"/>
    <mergeCell ref="J40:K41"/>
    <mergeCell ref="L40:L41"/>
    <mergeCell ref="B36:C38"/>
    <mergeCell ref="D36:D38"/>
    <mergeCell ref="F36:F38"/>
    <mergeCell ref="B39:C40"/>
    <mergeCell ref="D39:E40"/>
    <mergeCell ref="E36:E38"/>
    <mergeCell ref="F39:F40"/>
    <mergeCell ref="B35:C35"/>
    <mergeCell ref="C32:D33"/>
    <mergeCell ref="H4:I4"/>
    <mergeCell ref="H7:I8"/>
    <mergeCell ref="J7:K8"/>
    <mergeCell ref="B24:C25"/>
    <mergeCell ref="D24:D25"/>
    <mergeCell ref="F24:F25"/>
    <mergeCell ref="B22:C23"/>
    <mergeCell ref="D22:D23"/>
    <mergeCell ref="E22:E23"/>
    <mergeCell ref="F22:F23"/>
    <mergeCell ref="B15:C15"/>
    <mergeCell ref="B20:C21"/>
    <mergeCell ref="D20:D21"/>
    <mergeCell ref="F20:F21"/>
    <mergeCell ref="J11:K11"/>
    <mergeCell ref="B26:C27"/>
    <mergeCell ref="D26:D27"/>
    <mergeCell ref="F26:F27"/>
    <mergeCell ref="E24:E25"/>
    <mergeCell ref="E26:E27"/>
    <mergeCell ref="H27:I28"/>
    <mergeCell ref="J27:K28"/>
    <mergeCell ref="H23:I24"/>
    <mergeCell ref="J23:K24"/>
    <mergeCell ref="H25:I26"/>
    <mergeCell ref="J25:K26"/>
    <mergeCell ref="H19:I19"/>
    <mergeCell ref="H20:I22"/>
    <mergeCell ref="J20:K22"/>
    <mergeCell ref="C13:D13"/>
    <mergeCell ref="L7:L8"/>
    <mergeCell ref="M7:M8"/>
    <mergeCell ref="H9:I10"/>
    <mergeCell ref="J9:K10"/>
    <mergeCell ref="L9:L10"/>
    <mergeCell ref="M9:M10"/>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ED8DF-CCA4-4ED5-96B4-02CB76528788}">
  <dimension ref="A1:C17"/>
  <sheetViews>
    <sheetView tabSelected="1" workbookViewId="0">
      <selection activeCell="J13" sqref="J13"/>
    </sheetView>
  </sheetViews>
  <sheetFormatPr defaultRowHeight="15"/>
  <cols>
    <col min="1" max="1" width="39.85546875" bestFit="1" customWidth="1"/>
    <col min="2" max="2" width="61.5703125" customWidth="1"/>
    <col min="3" max="3" width="17.42578125" customWidth="1"/>
  </cols>
  <sheetData>
    <row r="1" spans="1:3" ht="18.75">
      <c r="A1" s="64" t="s">
        <v>149</v>
      </c>
      <c r="B1" s="64"/>
      <c r="C1" s="64"/>
    </row>
    <row r="2" spans="1:3" ht="17.25" customHeight="1">
      <c r="A2" s="20" t="s">
        <v>150</v>
      </c>
      <c r="B2" t="s">
        <v>88</v>
      </c>
      <c r="C2" s="26" t="s">
        <v>27</v>
      </c>
    </row>
    <row r="3" spans="1:3" ht="17.25" customHeight="1">
      <c r="A3" t="s">
        <v>151</v>
      </c>
      <c r="B3" s="10" t="s">
        <v>152</v>
      </c>
      <c r="C3" s="26">
        <f>COUNTIF(DATA!B2:B11,"Dhaka")</f>
        <v>3</v>
      </c>
    </row>
    <row r="4" spans="1:3" ht="17.25" customHeight="1">
      <c r="A4" t="s">
        <v>89</v>
      </c>
      <c r="B4" s="10" t="s">
        <v>153</v>
      </c>
      <c r="C4" s="30">
        <f>SUMIF(DATA!B2:B11,"Dhaka",DATA!D2:D11)</f>
        <v>97000</v>
      </c>
    </row>
    <row r="5" spans="1:3" ht="17.25" customHeight="1">
      <c r="A5" t="s">
        <v>154</v>
      </c>
      <c r="B5" s="10" t="s">
        <v>155</v>
      </c>
      <c r="C5" s="26">
        <f>COUNTIFS(DATA!B2:B11,"Chattogram",DATA!E2:E11,"Yes")</f>
        <v>2</v>
      </c>
    </row>
    <row r="6" spans="1:3" ht="17.25" customHeight="1">
      <c r="A6" t="s">
        <v>156</v>
      </c>
      <c r="B6" s="10" t="s">
        <v>157</v>
      </c>
      <c r="C6" s="30">
        <f>SUMIFS(DATA!D2:D11,DATA!B2:B11,"Chattogram",DATA!E2:E11,"Yes")</f>
        <v>50000</v>
      </c>
    </row>
    <row r="7" spans="1:3" ht="17.25" customHeight="1">
      <c r="A7" t="s">
        <v>133</v>
      </c>
      <c r="B7" s="10" t="s">
        <v>158</v>
      </c>
      <c r="C7" s="30">
        <f>_xlfn.XLOOKUP(104,DATA!A2:A11,DATA!D2:D11)</f>
        <v>35000</v>
      </c>
    </row>
    <row r="8" spans="1:3" ht="17.25" customHeight="1">
      <c r="A8" t="s">
        <v>159</v>
      </c>
      <c r="B8" s="10" t="s">
        <v>160</v>
      </c>
      <c r="C8" s="26">
        <f>SUMIF(DATA!B2:B11,"Dhaka",DATA!C2:C11)</f>
        <v>255</v>
      </c>
    </row>
    <row r="9" spans="1:3" ht="17.25" customHeight="1"/>
    <row r="10" spans="1:3" ht="17.25" customHeight="1">
      <c r="B10" s="50" t="s">
        <v>55</v>
      </c>
      <c r="C10" s="51"/>
    </row>
    <row r="11" spans="1:3" ht="17.25" customHeight="1">
      <c r="A11" s="43"/>
      <c r="C11" s="11"/>
    </row>
    <row r="12" spans="1:3" ht="17.25" customHeight="1">
      <c r="A12" s="43"/>
    </row>
    <row r="13" spans="1:3" ht="17.25" customHeight="1">
      <c r="A13" s="4" t="s">
        <v>161</v>
      </c>
    </row>
    <row r="14" spans="1:3">
      <c r="A14" s="65" t="s">
        <v>162</v>
      </c>
      <c r="B14" s="65"/>
      <c r="C14" s="65"/>
    </row>
    <row r="15" spans="1:3">
      <c r="A15" s="65"/>
      <c r="B15" s="65"/>
      <c r="C15" s="65"/>
    </row>
    <row r="16" spans="1:3">
      <c r="A16" s="65"/>
      <c r="B16" s="65"/>
      <c r="C16" s="65"/>
    </row>
    <row r="17" spans="1:3">
      <c r="A17" s="65"/>
      <c r="B17" s="65"/>
      <c r="C17" s="65"/>
    </row>
  </sheetData>
  <mergeCells count="4">
    <mergeCell ref="A1:C1"/>
    <mergeCell ref="A11:A12"/>
    <mergeCell ref="B10:C10"/>
    <mergeCell ref="A14:C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Shakil Ndc</cp:lastModifiedBy>
  <cp:revision/>
  <dcterms:created xsi:type="dcterms:W3CDTF">2026-10-10T20:23:05Z</dcterms:created>
  <dcterms:modified xsi:type="dcterms:W3CDTF">2026-10-14T10:26:57Z</dcterms:modified>
  <cp:category/>
  <cp:contentStatus/>
</cp:coreProperties>
</file>