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hidePivotFieldList="1" defaultThemeVersion="166925"/>
  <mc:AlternateContent xmlns:mc="http://schemas.openxmlformats.org/markup-compatibility/2006">
    <mc:Choice Requires="x15">
      <x15ac:absPath xmlns:x15ac="http://schemas.microsoft.com/office/spreadsheetml/2010/11/ac" url="D:\working\waccache\SG2PEPF000ECAC5\EXCELCNV\828abaa5-d3cd-4197-89b6-0549fd1124bb\"/>
    </mc:Choice>
  </mc:AlternateContent>
  <xr:revisionPtr revIDLastSave="390" documentId="8_{0B203C61-2937-4879-9D19-9F04372B18AB}" xr6:coauthVersionLast="47" xr6:coauthVersionMax="47" xr10:uidLastSave="{6CB10E0F-2DF5-459D-8B4A-A713861BB1C6}"/>
  <bookViews>
    <workbookView xWindow="-60" yWindow="-60" windowWidth="15480" windowHeight="11640" firstSheet="5" activeTab="4" xr2:uid="{1FE66147-596F-4B2B-8480-B16F542B1C2C}"/>
  </bookViews>
  <sheets>
    <sheet name="Data" sheetId="1" r:id="rId1"/>
    <sheet name="Metadata - Countries" sheetId="2" r:id="rId2"/>
    <sheet name="Metadata - Indicators" sheetId="3" r:id="rId3"/>
    <sheet name="WB_CLEAN" sheetId="5" r:id="rId4"/>
    <sheet name="WB_ANALYSIS_DATA" sheetId="8" r:id="rId5"/>
    <sheet name="WB_PIVOT" sheetId="6" r:id="rId6"/>
  </sheets>
  <definedNames>
    <definedName name="_xlnm._FilterDatabase" localSheetId="3" hidden="1">WB_CLEAN!$A$1:$E$267</definedName>
  </definedNames>
  <calcPr calcId="191028"/>
  <pivotCaches>
    <pivotCache cacheId="1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8" i="6" l="1"/>
  <c r="D39" i="6"/>
  <c r="D40" i="6"/>
  <c r="D41" i="6"/>
  <c r="D42" i="6"/>
  <c r="D43" i="6"/>
  <c r="D37" i="6"/>
  <c r="C190" i="8"/>
  <c r="C189" i="8"/>
  <c r="C188" i="8"/>
  <c r="C187" i="8"/>
  <c r="C186" i="8"/>
  <c r="C185" i="8"/>
  <c r="C184" i="8"/>
  <c r="C183" i="8"/>
  <c r="C182" i="8"/>
  <c r="C181" i="8"/>
  <c r="C180" i="8"/>
  <c r="C179" i="8"/>
  <c r="C178" i="8"/>
  <c r="C177" i="8"/>
  <c r="C176" i="8"/>
  <c r="C175" i="8"/>
  <c r="C174" i="8"/>
  <c r="C173" i="8"/>
  <c r="C172" i="8"/>
  <c r="C171" i="8"/>
  <c r="C170" i="8"/>
  <c r="C169" i="8"/>
  <c r="C168" i="8"/>
  <c r="C167" i="8"/>
  <c r="C166" i="8"/>
  <c r="C165" i="8"/>
  <c r="C164" i="8"/>
  <c r="C163" i="8"/>
  <c r="C162" i="8"/>
  <c r="C161" i="8"/>
  <c r="C160" i="8"/>
  <c r="C159" i="8"/>
  <c r="C158" i="8"/>
  <c r="C157" i="8"/>
  <c r="C156" i="8"/>
  <c r="C155" i="8"/>
  <c r="C154" i="8"/>
  <c r="C153" i="8"/>
  <c r="C152" i="8"/>
  <c r="C151" i="8"/>
  <c r="C150" i="8"/>
  <c r="C149" i="8"/>
  <c r="C148" i="8"/>
  <c r="C147" i="8"/>
  <c r="C146" i="8"/>
  <c r="C145" i="8"/>
  <c r="C144" i="8"/>
  <c r="C143" i="8"/>
  <c r="C142" i="8"/>
  <c r="C141" i="8"/>
  <c r="C140" i="8"/>
  <c r="C139" i="8"/>
  <c r="C138" i="8"/>
  <c r="C137" i="8"/>
  <c r="C136" i="8"/>
  <c r="C135" i="8"/>
  <c r="C134" i="8"/>
  <c r="C133" i="8"/>
  <c r="C132" i="8"/>
  <c r="C131" i="8"/>
  <c r="C130" i="8"/>
  <c r="C129" i="8"/>
  <c r="C128" i="8"/>
  <c r="C127" i="8"/>
  <c r="C126" i="8"/>
  <c r="C125" i="8"/>
  <c r="C124" i="8"/>
  <c r="C123" i="8"/>
  <c r="C122" i="8"/>
  <c r="C121" i="8"/>
  <c r="C120" i="8"/>
  <c r="C119" i="8"/>
  <c r="C118" i="8"/>
  <c r="C117" i="8"/>
  <c r="C116" i="8"/>
  <c r="C115" i="8"/>
  <c r="C114" i="8"/>
  <c r="C113" i="8"/>
  <c r="C112" i="8"/>
  <c r="C111" i="8"/>
  <c r="C110" i="8"/>
  <c r="C109" i="8"/>
  <c r="C108" i="8"/>
  <c r="C107" i="8"/>
  <c r="C106" i="8"/>
  <c r="C105" i="8"/>
  <c r="C104" i="8"/>
  <c r="C103" i="8"/>
  <c r="C102" i="8"/>
  <c r="C101" i="8"/>
  <c r="C100" i="8"/>
  <c r="C99" i="8"/>
  <c r="C98" i="8"/>
  <c r="C97" i="8"/>
  <c r="C96" i="8"/>
  <c r="C95" i="8"/>
  <c r="C94" i="8"/>
  <c r="C93" i="8"/>
  <c r="C92" i="8"/>
  <c r="C91" i="8"/>
  <c r="C90" i="8"/>
  <c r="C89" i="8"/>
  <c r="C88" i="8"/>
  <c r="C87" i="8"/>
  <c r="C86" i="8"/>
  <c r="C85" i="8"/>
  <c r="C84" i="8"/>
  <c r="C83" i="8"/>
  <c r="C82" i="8"/>
  <c r="C81" i="8"/>
  <c r="C80" i="8"/>
  <c r="C79" i="8"/>
  <c r="C78" i="8"/>
  <c r="C77" i="8"/>
  <c r="C76" i="8"/>
  <c r="C75" i="8"/>
  <c r="C74" i="8"/>
  <c r="C73" i="8"/>
  <c r="C72" i="8"/>
  <c r="C71" i="8"/>
  <c r="C70" i="8"/>
  <c r="C69" i="8"/>
  <c r="C68" i="8"/>
  <c r="C67" i="8"/>
  <c r="C66" i="8"/>
  <c r="C65" i="8"/>
  <c r="C64" i="8"/>
  <c r="C63" i="8"/>
  <c r="C62" i="8"/>
  <c r="C61" i="8"/>
  <c r="C60" i="8"/>
  <c r="C59" i="8"/>
  <c r="C58" i="8"/>
  <c r="C57" i="8"/>
  <c r="C56" i="8"/>
  <c r="C55" i="8"/>
  <c r="C54" i="8"/>
  <c r="C53" i="8"/>
  <c r="C52" i="8"/>
  <c r="C51" i="8"/>
  <c r="C50" i="8"/>
  <c r="C49" i="8"/>
  <c r="C48" i="8"/>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C14" i="8"/>
  <c r="C13" i="8"/>
  <c r="C12" i="8"/>
  <c r="C11" i="8"/>
  <c r="C10" i="8"/>
  <c r="C9" i="8"/>
  <c r="C8" i="8"/>
  <c r="C7" i="8"/>
  <c r="C6" i="8"/>
  <c r="C5" i="8"/>
  <c r="C4" i="8"/>
  <c r="C3" i="8"/>
  <c r="C2" i="8"/>
  <c r="E6" i="5"/>
  <c r="E3" i="5"/>
  <c r="E4" i="5"/>
  <c r="E5"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 i="5"/>
  <c r="C4" i="5"/>
  <c r="C2" i="5"/>
  <c r="C3"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alcChain>
</file>

<file path=xl/sharedStrings.xml><?xml version="1.0" encoding="utf-8"?>
<sst xmlns="http://schemas.openxmlformats.org/spreadsheetml/2006/main" count="3258" uniqueCount="788">
  <si>
    <t>Data Source</t>
  </si>
  <si>
    <t>World Development Indicators</t>
  </si>
  <si>
    <t>Last Updated Date</t>
  </si>
  <si>
    <t>Country Name</t>
  </si>
  <si>
    <t>Country Code</t>
  </si>
  <si>
    <t>Indicator Name</t>
  </si>
  <si>
    <t>Indicator Code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</si>
  <si>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</si>
  <si>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</si>
  <si>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</si>
  <si>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</si>
  <si>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</si>
  <si>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</si>
  <si>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</si>
  <si>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</si>
  <si>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</si>
  <si>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</si>
  <si>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</si>
  <si>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</si>
  <si>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</si>
  <si>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</si>
  <si>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</si>
  <si>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</si>
  <si>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</si>
  <si>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</si>
  <si>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</si>
  <si>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</si>
  <si>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</si>
  <si>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</si>
  <si>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</si>
  <si>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</si>
  <si>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</si>
  <si>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</si>
  <si>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</si>
  <si>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</si>
  <si>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</si>
  <si>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</si>
  <si>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</si>
  <si>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</si>
  <si>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</si>
  <si>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</si>
  <si>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</si>
  <si>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</si>
  <si>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</si>
  <si>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</si>
  <si>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</si>
  <si>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</si>
  <si>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</si>
  <si>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</si>
  <si>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</si>
  <si>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</si>
  <si>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</si>
  <si>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</si>
  <si>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</si>
  <si>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</si>
  <si>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</si>
  <si>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</si>
  <si>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</si>
  <si>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</si>
  <si>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</si>
  <si>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</si>
  <si>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</si>
  <si>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</si>
  <si>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</si>
  <si>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</si>
  <si>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</si>
  <si>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</si>
  <si>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</si>
  <si>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</si>
  <si>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</si>
  <si>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</si>
  <si>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</si>
  <si>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</si>
  <si>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Aruba</t>
  </si>
  <si>
    <t>ABW</t>
  </si>
  <si>
    <t>Individuals using the Internet (% of population)</t>
  </si>
  <si>
    <t>IT.NET.USER.ZS</t>
  </si>
  <si>
    <t>Africa Eastern and Southern</t>
  </si>
  <si>
    <t>AFE</t>
  </si>
  <si>
    <t>Afghanistan</t>
  </si>
  <si>
    <t>AFG</t>
  </si>
  <si>
    <t>Africa Western and Central</t>
  </si>
  <si>
    <t>AFW</t>
  </si>
  <si>
    <t>Angola</t>
  </si>
  <si>
    <t>AGO</t>
  </si>
  <si>
    <t>Albania</t>
  </si>
  <si>
    <t>ALB</t>
  </si>
  <si>
    <t>Andorra</t>
  </si>
  <si>
    <t>AND</t>
  </si>
  <si>
    <t>Arab World</t>
  </si>
  <si>
    <t>ARB</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</si>
  <si>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</si>
  <si>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</si>
  <si>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</si>
  <si>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</si>
  <si>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</si>
  <si>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</si>
  <si>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</si>
  <si>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</si>
  <si>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</si>
  <si>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</si>
  <si>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</si>
  <si>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</si>
  <si>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</si>
  <si>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</si>
  <si>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</si>
  <si>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</si>
  <si>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</si>
  <si>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</si>
  <si>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</si>
  <si>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</si>
  <si>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</si>
  <si>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</si>
  <si>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</si>
  <si>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</si>
  <si>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</si>
  <si>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</si>
  <si>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</si>
  <si>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</si>
  <si>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</si>
  <si>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</si>
  <si>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</si>
  <si>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</si>
  <si>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</si>
  <si>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</si>
  <si>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</si>
  <si>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</si>
  <si>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</si>
  <si>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</si>
  <si>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</si>
  <si>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</si>
  <si>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</si>
  <si>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</si>
  <si>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</si>
  <si>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</si>
  <si>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</si>
  <si>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</si>
  <si>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</si>
  <si>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</si>
  <si>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</si>
  <si>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</si>
  <si>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</si>
  <si>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</si>
  <si>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</si>
  <si>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</si>
  <si>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</si>
  <si>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</si>
  <si>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</si>
  <si>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</si>
  <si>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</si>
  <si>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</si>
  <si>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</si>
  <si>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</si>
  <si>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</si>
  <si>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</si>
  <si>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</si>
  <si>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</si>
  <si>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</si>
  <si>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</si>
  <si>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</si>
  <si>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</si>
  <si>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</si>
  <si>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</si>
  <si>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</si>
  <si>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</si>
  <si>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</si>
  <si>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</si>
  <si>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</si>
  <si>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</si>
  <si>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</si>
  <si>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</si>
  <si>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</si>
  <si>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</si>
  <si>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</si>
  <si>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</si>
  <si>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</si>
  <si>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</si>
  <si>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</si>
  <si>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</si>
  <si>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</si>
  <si>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</si>
  <si>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</si>
  <si>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</si>
  <si>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</si>
  <si>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</si>
  <si>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</si>
  <si>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</si>
  <si>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</si>
  <si>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</si>
  <si>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</si>
  <si>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</si>
  <si>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</si>
  <si>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</si>
  <si>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</si>
  <si>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</si>
  <si>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</si>
  <si>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</si>
  <si>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</si>
  <si>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</si>
  <si>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</si>
  <si>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</si>
  <si>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Asia &amp; Pacific</t>
  </si>
  <si>
    <t>EAS</t>
  </si>
  <si>
    <t>Europe &amp; Central Asia (excluding high income)</t>
  </si>
  <si>
    <t>ECA</t>
  </si>
  <si>
    <t>Europe &amp; Central Asia</t>
  </si>
  <si>
    <t>ECS</t>
  </si>
  <si>
    <t>Ecuador</t>
  </si>
  <si>
    <t>ECU</t>
  </si>
  <si>
    <t>Egypt, Arab Rep.</t>
  </si>
  <si>
    <t>EGY</t>
  </si>
  <si>
    <t>Euro area</t>
  </si>
  <si>
    <t>EMU</t>
  </si>
  <si>
    <t>Eritrea</t>
  </si>
  <si>
    <t>ERI</t>
  </si>
  <si>
    <t>Spain</t>
  </si>
  <si>
    <t>ESP</t>
  </si>
  <si>
    <t>Estonia</t>
  </si>
  <si>
    <t>EST</t>
  </si>
  <si>
    <t>Ethiopia</t>
  </si>
  <si>
    <t>ETH</t>
  </si>
  <si>
    <t>European Union</t>
  </si>
  <si>
    <t>EUU</t>
  </si>
  <si>
    <t>Fragility, Conflict, and Violence (FCV) situations</t>
  </si>
  <si>
    <t>FCV</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</si>
  <si>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</si>
  <si>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</si>
  <si>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</si>
  <si>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</si>
  <si>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</si>
  <si>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</si>
  <si>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</si>
  <si>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</si>
  <si>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</si>
  <si>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</si>
  <si>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</si>
  <si>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</si>
  <si>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</si>
  <si>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</si>
  <si>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</si>
  <si>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</si>
  <si>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</si>
  <si>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</si>
  <si>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</si>
  <si>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</si>
  <si>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</si>
  <si>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</si>
  <si>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</si>
  <si>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</si>
  <si>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</si>
  <si>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</si>
  <si>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</si>
  <si>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</si>
  <si>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</si>
  <si>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</si>
  <si>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</si>
  <si>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</si>
  <si>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</si>
  <si>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</si>
  <si>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</si>
  <si>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</si>
  <si>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</si>
  <si>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</si>
  <si>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</si>
  <si>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</si>
  <si>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</si>
  <si>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</si>
  <si>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</si>
  <si>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</si>
  <si>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</si>
  <si>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</si>
  <si>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</si>
  <si>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</si>
  <si>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</si>
  <si>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</si>
  <si>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</si>
  <si>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</si>
  <si>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</si>
  <si>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</si>
  <si>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</si>
  <si>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</si>
  <si>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</si>
  <si>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</si>
  <si>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</si>
  <si>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</si>
  <si>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</si>
  <si>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</si>
  <si>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</si>
  <si>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</si>
  <si>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</si>
  <si>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</si>
  <si>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</si>
  <si>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</si>
  <si>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</si>
  <si>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</si>
  <si>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Not classified</t>
  </si>
  <si>
    <t>INX</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</si>
  <si>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</si>
  <si>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</si>
  <si>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</si>
  <si>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</si>
  <si>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</si>
  <si>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</si>
  <si>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</si>
  <si>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</si>
  <si>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</si>
  <si>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</si>
  <si>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</si>
  <si>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</si>
  <si>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</si>
  <si>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</si>
  <si>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</si>
  <si>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</si>
  <si>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</si>
  <si>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</si>
  <si>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</si>
  <si>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</si>
  <si>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</si>
  <si>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</si>
  <si>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</si>
  <si>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</si>
  <si>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</si>
  <si>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</si>
  <si>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</si>
  <si>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</si>
  <si>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</si>
  <si>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</si>
  <si>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</si>
  <si>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</si>
  <si>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</si>
  <si>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</si>
  <si>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</si>
  <si>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</si>
  <si>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</si>
  <si>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</si>
  <si>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</si>
  <si>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</si>
  <si>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</si>
  <si>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</si>
  <si>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</si>
  <si>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</si>
  <si>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</si>
  <si>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</si>
  <si>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</si>
  <si>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</si>
  <si>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</si>
  <si>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</si>
  <si>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</si>
  <si>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</si>
  <si>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</si>
  <si>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</si>
  <si>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</si>
  <si>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</si>
  <si>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</si>
  <si>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</si>
  <si>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</si>
  <si>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</si>
  <si>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</si>
  <si>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</si>
  <si>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</si>
  <si>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</si>
  <si>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</si>
  <si>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</si>
  <si>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</si>
  <si>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</si>
  <si>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</si>
  <si>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</si>
  <si>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</si>
  <si>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</si>
  <si>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</si>
  <si>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</si>
  <si>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</si>
  <si>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</si>
  <si>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</si>
  <si>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</si>
  <si>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</si>
  <si>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</si>
  <si>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</si>
  <si>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</si>
  <si>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</si>
  <si>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</si>
  <si>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Middle East, North Africa, Afghanistan &amp; Pakistan</t>
  </si>
  <si>
    <t>MEA</t>
  </si>
  <si>
    <t>Mexico</t>
  </si>
  <si>
    <t>MEX</t>
  </si>
  <si>
    <t>Marshall Islands</t>
  </si>
  <si>
    <t>MHL</t>
  </si>
  <si>
    <t>Middle income</t>
  </si>
  <si>
    <t>MIC</t>
  </si>
  <si>
    <t>North Macedonia</t>
  </si>
  <si>
    <t>MKD</t>
  </si>
  <si>
    <t>Mali</t>
  </si>
  <si>
    <t>MLI</t>
  </si>
  <si>
    <t>Malta</t>
  </si>
  <si>
    <t>MLT</t>
  </si>
  <si>
    <t>Myanmar</t>
  </si>
  <si>
    <t>MMR</t>
  </si>
  <si>
    <t>Middle East, North Africa, Afghanistan &amp; Pakistan (excluding high income)</t>
  </si>
  <si>
    <t>MNA</t>
  </si>
  <si>
    <t>Montenegro</t>
  </si>
  <si>
    <t>MNE</t>
  </si>
  <si>
    <t>Mongolia</t>
  </si>
  <si>
    <t>MNG</t>
  </si>
  <si>
    <t>Northern Mariana Islands</t>
  </si>
  <si>
    <t>MNP</t>
  </si>
  <si>
    <t>Mozambique</t>
  </si>
  <si>
    <t>MOZ</t>
  </si>
  <si>
    <t>Mauritania</t>
  </si>
  <si>
    <t>MRT</t>
  </si>
  <si>
    <t>Mauritius</t>
  </si>
  <si>
    <t>MUS</t>
  </si>
  <si>
    <t>Malawi</t>
  </si>
  <si>
    <t>MWI</t>
  </si>
  <si>
    <t>Malaysia</t>
  </si>
  <si>
    <t>MYS</t>
  </si>
  <si>
    <t>North America</t>
  </si>
  <si>
    <t>NAC</t>
  </si>
  <si>
    <t>Namibia</t>
  </si>
  <si>
    <t>NAM</t>
  </si>
  <si>
    <t>New Caledonia</t>
  </si>
  <si>
    <t>NCL</t>
  </si>
  <si>
    <t>Niger</t>
  </si>
  <si>
    <t>NER</t>
  </si>
  <si>
    <t>Nigeria</t>
  </si>
  <si>
    <t>NGA</t>
  </si>
  <si>
    <t>Nicaragua</t>
  </si>
  <si>
    <t>NIC</t>
  </si>
  <si>
    <t>Netherlands</t>
  </si>
  <si>
    <t>NLD</t>
  </si>
  <si>
    <t>Norway</t>
  </si>
  <si>
    <t>NOR</t>
  </si>
  <si>
    <t>Nepal</t>
  </si>
  <si>
    <t>NPL</t>
  </si>
  <si>
    <t>Naoero</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</si>
  <si>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</si>
  <si>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</si>
  <si>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</si>
  <si>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</si>
  <si>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</si>
  <si>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</si>
  <si>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</si>
  <si>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</si>
  <si>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</si>
  <si>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</si>
  <si>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</si>
  <si>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</si>
  <si>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</si>
  <si>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</si>
  <si>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</si>
  <si>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</si>
  <si>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</si>
  <si>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</si>
  <si>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</si>
  <si>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</si>
  <si>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</si>
  <si>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</si>
  <si>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</si>
  <si>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</si>
  <si>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</si>
  <si>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Puerto Rico (US)</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</si>
  <si>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</si>
  <si>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</si>
  <si>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</si>
  <si>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</si>
  <si>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</si>
  <si>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</si>
  <si>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</si>
  <si>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</si>
  <si>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</si>
  <si>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</si>
  <si>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</si>
  <si>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</si>
  <si>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</si>
  <si>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</si>
  <si>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</si>
  <si>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</si>
  <si>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</si>
  <si>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</si>
  <si>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</si>
  <si>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</si>
  <si>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</si>
  <si>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</si>
  <si>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</si>
  <si>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</si>
  <si>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</si>
  <si>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</si>
  <si>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</si>
  <si>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</si>
  <si>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</si>
  <si>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</si>
  <si>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</si>
  <si>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</si>
  <si>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</si>
  <si>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</si>
  <si>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</si>
  <si>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</si>
  <si>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</si>
  <si>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</si>
  <si>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</si>
  <si>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</si>
  <si>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</si>
  <si>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Somalia, Fed. Rep.</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</si>
  <si>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</si>
  <si>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</si>
  <si>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</si>
  <si>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</si>
  <si>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</si>
  <si>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</si>
  <si>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</si>
  <si>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</si>
  <si>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</si>
  <si>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</si>
  <si>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</si>
  <si>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</si>
  <si>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</si>
  <si>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</si>
  <si>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</si>
  <si>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</si>
  <si>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</si>
  <si>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</si>
  <si>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</si>
  <si>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</si>
  <si>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</si>
  <si>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</si>
  <si>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</si>
  <si>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</si>
  <si>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</si>
  <si>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</si>
  <si>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</si>
  <si>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</si>
  <si>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</si>
  <si>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</si>
  <si>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</si>
  <si>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</si>
  <si>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</si>
  <si>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</si>
  <si>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</si>
  <si>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</si>
  <si>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</si>
  <si>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</si>
  <si>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</si>
  <si>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</si>
  <si>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</si>
  <si>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</si>
  <si>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</si>
  <si>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</si>
  <si>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</si>
  <si>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</si>
  <si>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</si>
  <si>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</si>
  <si>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</si>
  <si>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Middle East, North Africa, Afghanistan &amp; Pakistan (IDA &amp; IBRD)</t>
  </si>
  <si>
    <t>TMN</t>
  </si>
  <si>
    <t>Tonga</t>
  </si>
  <si>
    <t>TON</t>
  </si>
  <si>
    <t>South Asia (IDA &amp; IBRD)</t>
  </si>
  <si>
    <t>TSA</t>
  </si>
  <si>
    <t>Sub-Saharan Africa (IDA &amp; IBRD countries)</t>
  </si>
  <si>
    <t>TSS</t>
  </si>
  <si>
    <t>Trinidad and Tobago</t>
  </si>
  <si>
    <t>TTO</t>
  </si>
  <si>
    <t>Tunisia</t>
  </si>
  <si>
    <t>TUN</t>
  </si>
  <si>
    <t>Turkiye</t>
  </si>
  <si>
    <t>TUR</t>
  </si>
  <si>
    <t>Tuvalu</t>
  </si>
  <si>
    <t>TUV</t>
  </si>
  <si>
    <t>Tanzania</t>
  </si>
  <si>
    <t>TZA</t>
  </si>
  <si>
    <t>Uganda</t>
  </si>
  <si>
    <t>UGA</t>
  </si>
  <si>
    <t>Ukraine</t>
  </si>
  <si>
    <t>UKR</t>
  </si>
  <si>
    <t>Upper middle income</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</si>
  <si>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</si>
  <si>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</si>
  <si>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</si>
  <si>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</si>
  <si>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</si>
  <si>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</si>
  <si>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</si>
  <si>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</si>
  <si>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</si>
  <si>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</si>
  <si>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</si>
  <si>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</si>
  <si>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</si>
  <si>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</si>
  <si>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</si>
  <si>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 Nam</t>
  </si>
  <si>
    <t>VNM</t>
  </si>
  <si>
    <t>Vanuatu</t>
  </si>
  <si>
    <t>VUT</t>
  </si>
  <si>
    <t>World</t>
  </si>
  <si>
    <t>WLD</t>
  </si>
  <si>
    <t>Samoa</t>
  </si>
  <si>
    <t>WSM</t>
  </si>
  <si>
    <t>Kosovo</t>
  </si>
  <si>
    <t>XKX</t>
  </si>
  <si>
    <t>Yemen, Rep.</t>
  </si>
  <si>
    <t>YEM</t>
  </si>
  <si>
    <t>South Africa</t>
  </si>
  <si>
    <t>ZAF</t>
  </si>
  <si>
    <t>Zambia</t>
  </si>
  <si>
    <t>ZMB</t>
  </si>
  <si>
    <t>Zimbabwe</t>
  </si>
  <si>
    <t>ZWE</t>
  </si>
  <si>
    <t>Region</t>
  </si>
  <si>
    <t>IncomeGroup</t>
  </si>
  <si>
    <t>SpecialNotes</t>
  </si>
  <si>
    <t>TableName</t>
  </si>
  <si>
    <t>26 countries, stretching from the Red Sea in the North to the Cape of Good Hope in the South (https://www.worldbank.org/en/region/afr/eastern-and-southern-africa)</t>
  </si>
  <si>
    <t>Middle East &amp; North Africa</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</si>
  <si>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</si>
  <si>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22 countries, stretching from the westernmost point of Africa, across the equator, and partly along the Atlantic Ocean till the Republic of Congo in the South (https://www.worldbank.org/en/region/afr/western-and-central-africa)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</si>
  <si>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1994-2025. Alternative conversion factors are used in the Atlas methodology and elsewhere in World Development Indicators as single-year conversion factors.</t>
  </si>
  <si>
    <t>Arab World aggregate. Arab World is composed of members of the League of Arab States.</t>
  </si>
  <si>
    <t>Due to the limitations of the Atlas method in classifying countries experiencing persistent high inflation, this economy remains classified as upper-middle-income.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</si>
  <si>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</si>
  <si>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</si>
  <si>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1983-2025.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</si>
  <si>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</si>
  <si>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2026: 1 euro = 1.95583 Bulgarian Lev. Please note that historical data are not actual euros and are not comparable or suitable for aggregation across countries.</t>
  </si>
  <si>
    <t>Data before 2015 were adjusted to reflect the new denomination effective from July 1, 2016 (BYN), a decrease of 10,000 times (1 BYN = 10,000 BYR)</t>
  </si>
  <si>
    <t>Fiscal year end: March 31; reporting period for national accounts data: CY.</t>
  </si>
  <si>
    <t>Central Europe and the Baltics aggregate.</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</si>
  <si>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</si>
  <si>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Côte d'Ivoire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</si>
  <si>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</si>
  <si>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Caribbean small states aggregate.</t>
  </si>
  <si>
    <t>Curaçao</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</si>
  <si>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</si>
  <si>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</si>
  <si>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Early-dividend countries are mostly lower-middle-income countries further along the fertility transition. Fertility rates have fallen below four births per woman and the working-age share of the population is likely rising considerably.</t>
  </si>
  <si>
    <t>East Asia and Pacific regional aggregate (includes all income levels).</t>
  </si>
  <si>
    <t>Europe and Central Asia regional aggregate (includes all income levels).</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</si>
  <si>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</si>
  <si>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Euro area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</si>
  <si>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</si>
  <si>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</si>
  <si>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The following irrevocable euro conversion rate entered into force on January 1, 2011: 1 euro = 15.6466 Estonian kroon.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</si>
  <si>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</si>
  <si>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European Union aggregate.</t>
  </si>
  <si>
    <t>Fragility, Conflict, and Violence (FCV) situations has replaced the previous FCS (Fragile and Conflict-Affected Situations) terminology. Until FY2027, a single Harmonized List of Fragile Situations combined "conflict" and "institutional" fragility. As of July 2026, the public FCV list includes countries where at least 20% of the population lives in areas with high conflict-related fatalities during a reference period. Along with a separted institutional fragility list, more information is available at: https://www.worldbank.org/en/topic/fragilityconflictviolence/brief/classification-of-fragile-and-conflict-affected-situations.</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</si>
  <si>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</si>
  <si>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The following irrevocable euro conversion rate was adopted by the EU Council on January 1, 1999: 1 euro = 6.55957 French franc. Please note that historical data before 1999 are not actual euros and are not comparable or suitable for aggregation across countries.</t>
  </si>
  <si>
    <t>Fiscal year ends on September 30; reporting period for national accounts data: FY. The source for national accounts data is the Pacific and Virgin Islands Training Initiative.</t>
  </si>
  <si>
    <t>Includes self-governed areas only, which mostly exclude Abkhazia and South Ossetia, but small areas in Abkhazia and South Ossetia are included before 2008 or 2009 because of the changes in self-governed areas.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</si>
  <si>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</si>
  <si>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The DEC conversion is not reported when national accounts data are unavailable.</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</si>
  <si>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</si>
  <si>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</si>
  <si>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For FY27 (July 1, 2026–June 30, 2027), income groups are defined using 2025 GNI per capita (Atlas method): low income (LIC) ($1,175 or less); lower middle income (LMC) ($1,176–$4,635); upper middle income (UMC) ($4,636–$14,375); and high income (HIC) (above $14,375).
“Low- and middle-income (LMY)” economies include low-, lower middle-, and upper middle-income groups, while “middle-income (MIC)” economies include lower middle- and upper middle-income groups.</t>
  </si>
  <si>
    <t>On 1 July 1997 China resumed its exercise of sovereignty over Hong Kong. Unless otherwise noted, data for China do not include data for Hong Kong SAR, China; Macao SAR, China; or Taiwan, China. Agriculture value added includes mining and quarrying.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</si>
  <si>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</si>
  <si>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</si>
  <si>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</si>
  <si>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</si>
  <si>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IBRD only group aggregate.</t>
  </si>
  <si>
    <t>IDA and IBRD total group aggregate (includes IDA only, IDA blend, and IBRD only).</t>
  </si>
  <si>
    <t>IDA total group aggregate (includes IDA only and IDA blend).</t>
  </si>
  <si>
    <t>IDA blend group aggregate.</t>
  </si>
  <si>
    <t>Fiscal year end: March 31; reporting period for national accounts data: CY. Data for Indonesia include Timor-Leste through 1999 unless otherwise noted.</t>
  </si>
  <si>
    <t>IDA only group aggregate.</t>
  </si>
  <si>
    <t>Classification for years after 2012 was adjusted and figures were re-estimated by the World Bank, based on the detailed data published by the Cabinet Office, and are not consistent with data for 2011 and before.</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</si>
  <si>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</si>
  <si>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</si>
  <si>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1972-2025.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</si>
  <si>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</si>
  <si>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Fiscal year end: June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</si>
  <si>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</si>
  <si>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</si>
  <si>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1984-2025. Alternative conversion factors are used in the Atlas methodology and elsewhere in World Development Indicators as single-year conversion factors.</t>
  </si>
  <si>
    <t>National accounts data are provided in the US dollar.</t>
  </si>
  <si>
    <t>Late-dividend countries are mostly upper middle-income countries. Fertility rates are typically above replacement levels of 2.1 births per woman but continue to decline with shrinking working-age shares and rapid aging.</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</si>
  <si>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</si>
  <si>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</si>
  <si>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</si>
  <si>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On 20 December 1999 China resumed its exercise of sovereignty over Macao. Unless otherwise noted, data for China do not include data for Hong Kong SAR, China; Macao SAR, China; or Taiwan, China.</t>
  </si>
  <si>
    <t>Excluding Transnistria. For 1950-94, World Bank estimates using UN World Population Prospects' growth rates of whole Moldova.</t>
  </si>
  <si>
    <t>Middle East, North Africa, Afghanistan &amp; Pakistan regional aggregate (including all income levels). Since July 1, 2025, Afghanistan and Pakistan are classified as part of the Middle East and North Africa region, moving them from South Asia.</t>
  </si>
  <si>
    <t>Fiscal year ends on September 30; reporting period for national accounts data: FY.</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</si>
  <si>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</si>
  <si>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</si>
  <si>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Middle East, North Africa, Afghanistan &amp; Pakistan regional aggregate (excluding high-income economies). Since July 1, 2025, Afghanistan and Pakistan are classified as part of the Middle East and North Africa region, moving them from South Asia.</t>
  </si>
  <si>
    <t>Montenegro declared independence from Serbia and Montenegro on June 3, 2006. Where available, data for each country are shown separately. However, for Serbia, some indicators continue to include data for Montenegro through 2005.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</si>
  <si>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</si>
  <si>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National account data were adjusted to reflect the new banknote (1 new ouguiya = 10 old ouguiya)</t>
  </si>
  <si>
    <t>North America regional aggregate. There are no economies in North America classified as low or middle-income.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</si>
  <si>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</si>
  <si>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</si>
  <si>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</si>
  <si>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</si>
  <si>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Other small states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</si>
  <si>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</si>
  <si>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Pre-dividend countries are mostly low-income countries, lagging in key human development indicators and with current fertility levels above four births per woman. They face very rapid population growth.</t>
  </si>
  <si>
    <t>Fiscal year end: June 30; reporting period for national accounts data: FY.</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</si>
  <si>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</si>
  <si>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</si>
  <si>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Pacific island small states aggregate.</t>
  </si>
  <si>
    <t>Post-dividend countries are mostly high-income countries where fertility has transitioned below replacement levels.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</si>
  <si>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</si>
  <si>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South Asia regional aggregate. Since July 1, 2025, Afghanistan and Pakistan are classified as part of the Middle East and North Africa region, moving them from South Asia. No economies in South Asia are classified as high-income.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</si>
  <si>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</si>
  <si>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</si>
  <si>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</si>
  <si>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Sub-Saharan Africa regional aggregate (includes all income levels).</t>
  </si>
  <si>
    <t>Small states aggregate.</t>
  </si>
  <si>
    <t>National account data were adjusted to reflect the new banknote (1 new Dobra STN = 1000 old Dobra STD)</t>
  </si>
  <si>
    <t>São Tomé and Principe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</si>
  <si>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</si>
  <si>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</si>
  <si>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</si>
  <si>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Fiscal year end: March 31; reporting period for national accounts data: CY. Authorities revised national accounts from 1999 to 2015.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</si>
  <si>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2011-2025. Alternative conversion factors are used in the Atlas methodology and elsewhere in World Development Indicators as single-year conversion factors.</t>
  </si>
  <si>
    <t>East Asia &amp; Pacific (IDA &amp; IBRD countries) aggregate.</t>
  </si>
  <si>
    <t>East Asia &amp; Pacific (IDA &amp; IBRD)</t>
  </si>
  <si>
    <t>Europe &amp; Central Asia (IDA &amp; IBRD countries) aggregate.</t>
  </si>
  <si>
    <t>Europe &amp; Central Asia (IDA &amp; IBRD)</t>
  </si>
  <si>
    <t>Fiscal year end: September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</si>
  <si>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2019-2025. Alternative conversion factors are used in the Atlas methodology and elsewhere in World Development Indicators as single-year conversion factors.</t>
  </si>
  <si>
    <t>Latin America &amp; the Caribbean (IDA &amp; IBRD countries) aggregate.</t>
  </si>
  <si>
    <t>Latin America &amp; Caribbean (IDA &amp; IBRD)</t>
  </si>
  <si>
    <t>Middle East, North Africa, Afghanistan &amp; Pakistan regional aggregate (IDA &amp; IBRD countries). Since July 1, 2025, Afghanistan and Pakistan are classified as part of the Middle East and North Africa region, moving them from South Asia.</t>
  </si>
  <si>
    <t>South Asia (IDA &amp; IBRD countries) aggregate. Since July 1, 2025, Afghanistan and Pakistan are classified as part of the Middle East and North Africa region, moving them from South Asia.</t>
  </si>
  <si>
    <t>Sub-Saharan Africa (IDA &amp; IBRD countries) aggregate.</t>
  </si>
  <si>
    <t>Sub-Saharan Africa (IDA &amp; IBRD)</t>
  </si>
  <si>
    <t>Due to the limitations of the Atlas method in classifying countries experiencing persistent high inflation, this economy remains classified as upper-middle-income.</t>
  </si>
  <si>
    <t>Türkiye</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</si>
  <si>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</si>
  <si>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General Government final consumption expenditure includes Non-Profit Institutions Serving Households final concumption expenditure</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</si>
  <si>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</si>
  <si>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Virgin Islands (US)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</si>
  <si>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</si>
  <si>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National accounts data were rebased to reflect the January 1, 2013, introduction of the new Zambian kwacha at a rate of 1,000 old kwacha = 1 new kwacha.</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</si>
  <si>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</si>
  <si>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INDICATOR_CODE</t>
  </si>
  <si>
    <t>INDICATOR_NAME</t>
  </si>
  <si>
    <t>SOURCE_NOTE</t>
  </si>
  <si>
    <t>SOURCE_ORGANIZATION</t>
  </si>
  <si>
    <t>Internet users are individuals who have used the Internet (from any location) in the last 3 months. The Internet can be used via a computer, mobile phone, personal digital assistant, games machine, digital TV etc.</t>
  </si>
  <si>
    <t>World Telecommunication/ICT Indicators Database, International Telecommunication Union (ITU), uri: https://datahub.itu.int/</t>
  </si>
  <si>
    <t>Internet Use (%)</t>
  </si>
  <si>
    <t>Include?</t>
  </si>
  <si>
    <t>WB_ANALYSIS_DATA — Documentation</t>
  </si>
  <si>
    <r>
      <t>Purpose:</t>
    </r>
    <r>
      <rPr>
        <sz val="11"/>
        <color theme="1"/>
        <rFont val="Calibri"/>
        <scheme val="minor"/>
      </rPr>
      <t xml:space="preserve"> Prepare a country-level dataset for comparing Internet use across World Bank geographic regions in 2019.</t>
    </r>
  </si>
  <si>
    <r>
      <t>Source:</t>
    </r>
    <r>
      <rPr>
        <sz val="11"/>
        <color theme="1"/>
        <rFont val="Calibri"/>
        <scheme val="minor"/>
      </rPr>
      <t xml:space="preserve"> World Bank, World Development Indicators</t>
    </r>
  </si>
  <si>
    <t>Indicator code:</t>
  </si>
  <si>
    <r>
      <t>Indicator:</t>
    </r>
    <r>
      <rPr>
        <sz val="11"/>
        <color theme="1"/>
        <rFont val="Calibri"/>
        <scheme val="minor"/>
      </rPr>
      <t xml:space="preserve"> Individuals using the Internet (% of population)</t>
    </r>
  </si>
  <si>
    <r>
      <t>Reference year:</t>
    </r>
    <r>
      <rPr>
        <sz val="11"/>
        <color theme="1"/>
        <rFont val="Calibri"/>
        <scheme val="minor"/>
      </rPr>
      <t xml:space="preserve"> 2019</t>
    </r>
  </si>
  <si>
    <t>Variables</t>
  </si>
  <si>
    <t>: Economy name as provided by the source.</t>
  </si>
  <si>
    <t>: World Bank economy code.</t>
  </si>
  <si>
    <t>: Geographic region obtained from the country metadata.</t>
  </si>
  <si>
    <t>: Indicator value for 2019.</t>
  </si>
  <si>
    <t>Inclusion rules</t>
  </si>
  <si>
    <t>Include only individual economies with a verified geographic region.</t>
  </si>
  <si>
    <t>Include only valid numeric Internet-use observations for 2019.</t>
  </si>
  <si>
    <t>Exclude regional and income-group aggregates from country-level regional averages.</t>
  </si>
  <si>
    <t>Retain missing or unresolved observations in the source/cleaning worksheet for transparency, but exclude them from the analysis dataset.</t>
  </si>
  <si>
    <t>Do not replace missing values with zero.</t>
  </si>
  <si>
    <t>Analytical method</t>
  </si>
  <si>
    <t>Calculate the unweighted mean of available country-level Internet-use percentages by geographic region. Use minimum, maximum, and range to examine the spread of country observations.</t>
  </si>
  <si>
    <t>Limitations</t>
  </si>
  <si>
    <t>The analysis is descriptive. Country-level averages are not population-weighted regional rates, and differences between regions do not establish causal relationships. Results depend on the coverage and completeness of the 2019 observations.</t>
  </si>
  <si>
    <t>Reproducibility</t>
  </si>
  <si>
    <t>Record the final number of included economies, the date the source data were downloaded, and any unresolved region classifications before publishing the results.</t>
  </si>
  <si>
    <r>
      <rPr>
        <b/>
        <sz val="12"/>
        <color rgb="FF000000"/>
        <rFont val="Calibri"/>
      </rPr>
      <t>Research Question:</t>
    </r>
    <r>
      <rPr>
        <sz val="12"/>
        <color rgb="FF000000"/>
        <rFont val="Calibri"/>
      </rPr>
      <t xml:space="preserve"> What was the average country-level Internet-use percentage in each World Bank geographic region in 2019?</t>
    </r>
  </si>
  <si>
    <t>Average of Internet Use (%)</t>
  </si>
  <si>
    <t>Count of Country Code</t>
  </si>
  <si>
    <t>Grand Total</t>
  </si>
  <si>
    <t>Interpretation</t>
  </si>
  <si>
    <r>
      <rPr>
        <b/>
        <sz val="11"/>
        <color rgb="FF000000"/>
        <rFont val="Calibri"/>
        <scheme val="minor"/>
      </rPr>
      <t>Finding:</t>
    </r>
    <r>
      <rPr>
        <sz val="11"/>
        <color rgb="FF000000"/>
        <rFont val="Calibri"/>
        <scheme val="minor"/>
      </rPr>
      <t xml:space="preserve"> In 2019, North America had the highest average Internet-use percentage (90.68%), while Sub-Saharan Africa had the lowest at 27.2%.</t>
    </r>
  </si>
  <si>
    <r>
      <rPr>
        <b/>
        <sz val="11"/>
        <color rgb="FF000000"/>
        <rFont val="Calibri"/>
        <scheme val="minor"/>
      </rPr>
      <t>Interpretation:</t>
    </r>
    <r>
      <rPr>
        <sz val="11"/>
        <color rgb="FF000000"/>
        <rFont val="Calibri"/>
        <scheme val="minor"/>
      </rPr>
      <t xml:space="preserve"> Internet use differed across geographic regions. Differences may reflect infrastructure, affordability, income, and access, but this descriptive analysis cannot identify the causes.</t>
    </r>
  </si>
  <si>
    <r>
      <rPr>
        <b/>
        <sz val="11"/>
        <color rgb="FF000000"/>
        <rFont val="Calibri"/>
        <scheme val="minor"/>
      </rPr>
      <t>Limitation:</t>
    </r>
    <r>
      <rPr>
        <sz val="11"/>
        <color rgb="FF000000"/>
        <rFont val="Calibri"/>
        <scheme val="minor"/>
      </rPr>
      <t xml:space="preserve"> The figures represent an unweighted average of available country-level percentages, not the population-weighted Internet-use rate for each region. Countries with missing data are excluded.</t>
    </r>
  </si>
  <si>
    <r>
      <rPr>
        <b/>
        <sz val="12"/>
        <color rgb="FF000000"/>
        <rFont val="Calibri"/>
        <scheme val="minor"/>
      </rPr>
      <t>Research Question 2:</t>
    </r>
    <r>
      <rPr>
        <sz val="12"/>
        <color rgb="FF000000"/>
        <rFont val="Calibri"/>
        <scheme val="minor"/>
      </rPr>
      <t xml:space="preserve"> Which regions show the greatest variation in Internet use across countries?</t>
    </r>
  </si>
  <si>
    <t>Min of Internet Use (%)2</t>
  </si>
  <si>
    <t>Max of Internet Use (%)3</t>
  </si>
  <si>
    <t>Range</t>
  </si>
  <si>
    <r>
      <rPr>
        <b/>
        <sz val="11"/>
        <color rgb="FF000000"/>
        <rFont val="Calibri"/>
        <scheme val="minor"/>
      </rPr>
      <t>Finding</t>
    </r>
    <r>
      <rPr>
        <sz val="11"/>
        <color rgb="FF000000"/>
        <rFont val="Calibri"/>
        <scheme val="minor"/>
      </rPr>
      <t>: In 2019, Middle East &amp; North Africa had the largest range in country-level Internet use, at 82.63 percentage points, while North America had the smallest range, at 2.49 percentage points.</t>
    </r>
  </si>
  <si>
    <r>
      <rPr>
        <b/>
        <sz val="11"/>
        <color rgb="FF000000"/>
        <rFont val="Calibri"/>
        <scheme val="minor"/>
      </rPr>
      <t>Interpretation:</t>
    </r>
    <r>
      <rPr>
        <sz val="11"/>
        <color rgb="FF000000"/>
        <rFont val="Calibri"/>
        <scheme val="minor"/>
      </rPr>
      <t xml:space="preserve"> The results suggest that the gap between the highest- and lowest-Internet-use countries differed across regions. A larger range indicates greater separation between the two extremes, while a smaller range indicates that the extremes were closer together.</t>
    </r>
  </si>
  <si>
    <r>
      <rPr>
        <b/>
        <sz val="11"/>
        <color rgb="FF000000"/>
        <rFont val="Calibri"/>
        <scheme val="minor"/>
      </rPr>
      <t xml:space="preserve">Limitation: </t>
    </r>
    <r>
      <rPr>
        <sz val="11"/>
        <color rgb="FF000000"/>
        <rFont val="Calibri"/>
        <scheme val="minor"/>
      </rPr>
      <t>The range uses only the minimum and maximum values and ignores all countries between them. It can be influenced by extreme observations and does not establish the causes of regional differences. Missing country observations may also affect the calculated range.</t>
    </r>
  </si>
  <si>
    <r>
      <rPr>
        <b/>
        <sz val="11"/>
        <color rgb="FF000000"/>
        <rFont val="Calibri"/>
        <scheme val="minor"/>
      </rPr>
      <t>Research note</t>
    </r>
    <r>
      <rPr>
        <sz val="11"/>
        <color rgb="FF000000"/>
        <rFont val="Calibri"/>
        <scheme val="minor"/>
      </rPr>
      <t>: These are descriptive results for 2019. Avoid claiming that a region has greater overall inequality based on the range alone; standard deviation or interquartile range would provide additional information about the distribution.</t>
    </r>
  </si>
  <si>
    <r>
      <rPr>
        <b/>
        <sz val="12"/>
        <color rgb="FF000000"/>
        <rFont val="Calibri"/>
        <scheme val="minor"/>
      </rPr>
      <t>Research Question 3:</t>
    </r>
    <r>
      <rPr>
        <sz val="12"/>
        <color rgb="FF000000"/>
        <rFont val="Calibri"/>
        <scheme val="minor"/>
      </rPr>
      <t xml:space="preserve"> Which countries have the highest and lowest Internet use within each region?</t>
    </r>
  </si>
  <si>
    <t>South Asia Total</t>
  </si>
  <si>
    <r>
      <rPr>
        <b/>
        <sz val="11"/>
        <color rgb="FF000000"/>
        <rFont val="Calibri"/>
        <scheme val="minor"/>
      </rPr>
      <t>Finding:</t>
    </r>
    <r>
      <rPr>
        <sz val="11"/>
        <color rgb="FF000000"/>
        <rFont val="Calibri"/>
        <scheme val="minor"/>
      </rPr>
      <t xml:space="preserve"> Within South Asia, Maldivies had the highest observed Internet-use percentage at 77.47%, while Bangladesh had the lowest at 30.39%. </t>
    </r>
  </si>
  <si>
    <r>
      <rPr>
        <b/>
        <sz val="11"/>
        <color rgb="FF000000"/>
        <rFont val="Calibri"/>
        <scheme val="minor"/>
      </rPr>
      <t xml:space="preserve">Interpretation: </t>
    </r>
    <r>
      <rPr>
        <sz val="11"/>
        <color rgb="FF000000"/>
        <rFont val="Calibri"/>
        <scheme val="minor"/>
      </rPr>
      <t>Countries within the same geographic region can have substantially different levels of Internet use. Regional averages therefore do not describe every country's experience.</t>
    </r>
  </si>
  <si>
    <r>
      <rPr>
        <b/>
        <sz val="11"/>
        <color rgb="FF000000"/>
        <rFont val="Calibri"/>
        <scheme val="minor"/>
      </rPr>
      <t>Limitation:</t>
    </r>
    <r>
      <rPr>
        <sz val="11"/>
        <color rgb="FF000000"/>
        <rFont val="Calibri"/>
        <scheme val="minor"/>
      </rPr>
      <t xml:space="preserve"> This comparison is descriptive. It cannot explain why countries differ, and results may be affected by missing country observations or differences in national circumstances.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</si>
</sst>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b/>
      <sz val="11"/>
      <color rgb="FF000000"/>
      <name val="Calibri"/>
      <scheme val="minor"/>
    </font>
    <font>
      <sz val="11"/>
      <color rgb="FF000000"/>
      <name val="Calibri"/>
      <scheme val="minor"/>
    </font>
    <font>
      <b/>
      <sz val="11"/>
      <color theme="1"/>
      <name val="Calibri"/>
      <scheme val="minor"/>
    </font>
    <font>
      <sz val="12"/>
      <color theme="1"/>
      <name val="Calibri"/>
      <scheme val="minor"/>
    </font>
    <font>
      <b/>
      <sz val="12"/>
      <color rgb="FF000000"/>
      <name val="Calibri"/>
      <scheme val="minor"/>
    </font>
    <font>
      <sz val="12"/>
      <color rgb="FF000000"/>
      <name val="Calibri"/>
      <scheme val="minor"/>
    </font>
    <font>
      <sz val="12"/>
      <color rgb="FF000000"/>
      <name val="Calibri"/>
    </font>
    <font>
      <b/>
      <sz val="12"/>
      <color rgb="FF000000"/>
      <name val="Calibri"/>
    </font>
    <font>
      <b/>
      <sz val="18"/>
      <color theme="1"/>
      <name val="Calibri"/>
      <scheme val="minor"/>
    </font>
    <font>
      <b/>
      <sz val="13.5"/>
      <color theme="1"/>
      <name val="Calibri"/>
      <scheme val="minor"/>
    </font>
  </fonts>
  <fills count="6">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8" tint="0.79998168889431442"/>
        <bgColor indexed="64"/>
      </patternFill>
    </fill>
  </fills>
  <borders count="9">
    <border>
      <left/>
      <right/>
      <top/>
      <bottom/>
      <diagonal/>
    </border>
    <border>
      <left style="thin">
        <color rgb="FF000000"/>
      </left>
      <right/>
      <top style="thin">
        <color rgb="FF000000"/>
      </top>
      <bottom style="thin">
        <color theme="4" tint="0.39997558519241921"/>
      </bottom>
      <diagonal/>
    </border>
    <border>
      <left/>
      <right/>
      <top style="thin">
        <color rgb="FF000000"/>
      </top>
      <bottom style="thin">
        <color theme="4" tint="0.39997558519241921"/>
      </bottom>
      <diagonal/>
    </border>
    <border>
      <left/>
      <right style="thin">
        <color rgb="FF000000"/>
      </right>
      <top style="thin">
        <color rgb="FF000000"/>
      </top>
      <bottom style="thin">
        <color theme="4" tint="0.39997558519241921"/>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1">
    <xf numFmtId="0" fontId="0" fillId="0" borderId="0" xfId="0"/>
    <xf numFmtId="14" fontId="0" fillId="0" borderId="0" xfId="0" applyNumberFormat="1"/>
    <xf numFmtId="0" fontId="0" fillId="0" borderId="0" xfId="0" applyAlignment="1">
      <alignment wrapText="1"/>
    </xf>
    <xf numFmtId="0" fontId="0" fillId="0" borderId="0" xfId="0" applyAlignment="1">
      <alignment horizontal="center"/>
    </xf>
    <xf numFmtId="0" fontId="0" fillId="0" borderId="0" xfId="0" pivotButton="1"/>
    <xf numFmtId="0" fontId="0" fillId="0" borderId="0" xfId="0" applyNumberFormat="1"/>
    <xf numFmtId="0" fontId="1" fillId="0" borderId="0" xfId="0" applyFont="1"/>
    <xf numFmtId="0" fontId="0" fillId="2" borderId="0" xfId="0" applyFill="1"/>
    <xf numFmtId="0" fontId="2" fillId="2" borderId="0" xfId="0" applyFont="1" applyFill="1"/>
    <xf numFmtId="0" fontId="0" fillId="3" borderId="0" xfId="0" applyFill="1"/>
    <xf numFmtId="0" fontId="2" fillId="2" borderId="0" xfId="0" applyFont="1" applyFill="1" applyAlignment="1">
      <alignment horizontal="left" vertical="top" wrapText="1"/>
    </xf>
    <xf numFmtId="0" fontId="0" fillId="2" borderId="0" xfId="0" applyFill="1" applyAlignment="1">
      <alignment horizontal="left" vertical="top" wrapText="1"/>
    </xf>
    <xf numFmtId="0" fontId="2" fillId="2" borderId="0" xfId="0" applyFont="1" applyFill="1" applyAlignment="1">
      <alignment horizontal="left" wrapText="1"/>
    </xf>
    <xf numFmtId="0" fontId="0" fillId="2" borderId="0" xfId="0" applyFill="1" applyAlignment="1">
      <alignment horizontal="left" wrapText="1"/>
    </xf>
    <xf numFmtId="0" fontId="4" fillId="3" borderId="0" xfId="0" applyFont="1" applyFill="1"/>
    <xf numFmtId="0" fontId="6" fillId="3" borderId="0" xfId="0" applyFont="1" applyFill="1"/>
    <xf numFmtId="0" fontId="3" fillId="0" borderId="0" xfId="0" applyFont="1"/>
    <xf numFmtId="0" fontId="3" fillId="4" borderId="1" xfId="0" applyFont="1" applyFill="1" applyBorder="1"/>
    <xf numFmtId="0" fontId="3" fillId="4" borderId="2" xfId="0" applyFont="1" applyFill="1" applyBorder="1"/>
    <xf numFmtId="0" fontId="3" fillId="4" borderId="3" xfId="0" applyFont="1" applyFill="1" applyBorder="1" applyAlignment="1">
      <alignment horizontal="center"/>
    </xf>
    <xf numFmtId="0" fontId="0" fillId="0" borderId="4" xfId="0" applyBorder="1"/>
    <xf numFmtId="0" fontId="0" fillId="0" borderId="0" xfId="0" applyNumberFormat="1" applyBorder="1"/>
    <xf numFmtId="0" fontId="0" fillId="0" borderId="5" xfId="0" applyNumberFormat="1" applyBorder="1"/>
    <xf numFmtId="0" fontId="0" fillId="0" borderId="6" xfId="0" applyBorder="1"/>
    <xf numFmtId="0" fontId="0" fillId="0" borderId="7" xfId="0" applyNumberFormat="1" applyBorder="1"/>
    <xf numFmtId="0" fontId="0" fillId="0" borderId="8" xfId="0" applyNumberFormat="1" applyBorder="1"/>
    <xf numFmtId="0" fontId="7" fillId="3" borderId="0" xfId="0" applyFont="1" applyFill="1"/>
    <xf numFmtId="0" fontId="2" fillId="5" borderId="0" xfId="0" applyFont="1" applyFill="1" applyAlignment="1">
      <alignment horizontal="left" wrapText="1"/>
    </xf>
    <xf numFmtId="0" fontId="0" fillId="5" borderId="0" xfId="0" applyFill="1" applyAlignment="1">
      <alignment horizontal="left" wrapText="1"/>
    </xf>
    <xf numFmtId="0" fontId="9" fillId="0" borderId="0" xfId="0" applyFont="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[Day5_WorldBank_Internet_Use.xlsx]WB_PIVOT!PivotTable1</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Average Internet Use by World Bank Region, 2019</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WB_PIVOT!$B$5</c:f>
              <c:strCache>
                <c:ptCount val="1"/>
                <c:pt idx="0">
                  <c:v>Average of Internet Use (%)</c:v>
                </c:pt>
              </c:strCache>
            </c:strRef>
          </c:tx>
          <c:spPr>
            <a:solidFill>
              <a:schemeClr val="accent1"/>
            </a:solidFill>
            <a:ln>
              <a:noFill/>
            </a:ln>
            <a:effectLst/>
          </c:spPr>
          <c:invertIfNegative val="0"/>
          <c:cat>
            <c:strRef>
              <c:f>WB_PIVOT!$A$6:$A$13</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WB_PIVOT!$B$6:$B$13</c:f>
              <c:numCache>
                <c:formatCode>General</c:formatCode>
                <c:ptCount val="7"/>
                <c:pt idx="0">
                  <c:v>62.182989503447459</c:v>
                </c:pt>
                <c:pt idx="1">
                  <c:v>81.040702994166963</c:v>
                </c:pt>
                <c:pt idx="2">
                  <c:v>64.770251654996912</c:v>
                </c:pt>
                <c:pt idx="3">
                  <c:v>70.068157109876481</c:v>
                </c:pt>
                <c:pt idx="4">
                  <c:v>90.671593843785587</c:v>
                </c:pt>
                <c:pt idx="5">
                  <c:v>46.152200698333331</c:v>
                </c:pt>
                <c:pt idx="6">
                  <c:v>27.19036851665502</c:v>
                </c:pt>
              </c:numCache>
            </c:numRef>
          </c:val>
          <c:extLst>
            <c:ext xmlns:c16="http://schemas.microsoft.com/office/drawing/2014/chart" uri="{C3380CC4-5D6E-409C-BE32-E72D297353CC}">
              <c16:uniqueId val="{00000000-7036-480E-9C8C-F5BA7CAB03B8}"/>
            </c:ext>
          </c:extLst>
        </c:ser>
        <c:ser>
          <c:idx val="1"/>
          <c:order val="1"/>
          <c:tx>
            <c:strRef>
              <c:f>WB_PIVOT!$C$5</c:f>
              <c:strCache>
                <c:ptCount val="1"/>
                <c:pt idx="0">
                  <c:v>Count of Country Code</c:v>
                </c:pt>
              </c:strCache>
            </c:strRef>
          </c:tx>
          <c:spPr>
            <a:solidFill>
              <a:schemeClr val="accent2"/>
            </a:solidFill>
            <a:ln>
              <a:noFill/>
            </a:ln>
            <a:effectLst/>
          </c:spPr>
          <c:invertIfNegative val="0"/>
          <c:cat>
            <c:strRef>
              <c:f>WB_PIVOT!$A$6:$A$13</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WB_PIVOT!$C$6:$C$13</c:f>
              <c:numCache>
                <c:formatCode>General</c:formatCode>
                <c:ptCount val="7"/>
                <c:pt idx="0">
                  <c:v>27</c:v>
                </c:pt>
                <c:pt idx="1">
                  <c:v>51</c:v>
                </c:pt>
                <c:pt idx="2">
                  <c:v>34</c:v>
                </c:pt>
                <c:pt idx="3">
                  <c:v>22</c:v>
                </c:pt>
                <c:pt idx="4">
                  <c:v>2</c:v>
                </c:pt>
                <c:pt idx="5">
                  <c:v>6</c:v>
                </c:pt>
                <c:pt idx="6">
                  <c:v>47</c:v>
                </c:pt>
              </c:numCache>
            </c:numRef>
          </c:val>
          <c:extLst>
            <c:ext xmlns:c16="http://schemas.microsoft.com/office/drawing/2014/chart" uri="{C3380CC4-5D6E-409C-BE32-E72D297353CC}">
              <c16:uniqueId val="{00000002-7036-480E-9C8C-F5BA7CAB03B8}"/>
            </c:ext>
          </c:extLst>
        </c:ser>
        <c:dLbls>
          <c:showLegendKey val="0"/>
          <c:showVal val="0"/>
          <c:showCatName val="0"/>
          <c:showSerName val="0"/>
          <c:showPercent val="0"/>
          <c:showBubbleSize val="0"/>
        </c:dLbls>
        <c:gapWidth val="182"/>
        <c:axId val="844457480"/>
        <c:axId val="844459528"/>
      </c:barChart>
      <c:catAx>
        <c:axId val="844457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459528"/>
        <c:crosses val="autoZero"/>
        <c:auto val="1"/>
        <c:lblAlgn val="ctr"/>
        <c:lblOffset val="100"/>
        <c:noMultiLvlLbl val="0"/>
      </c:catAx>
      <c:valAx>
        <c:axId val="844459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457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[Day5_WorldBank_Internet_Use.xlsx]WB_PIVOT!PivotTable2</c:name>
    <c:fmtId val="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Average, Minimum and Maximum Internet Use by Region, 2019</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WB_PIVOT!$B$25</c:f>
              <c:strCache>
                <c:ptCount val="1"/>
                <c:pt idx="0">
                  <c:v>Min of Internet Use (%)2</c:v>
                </c:pt>
              </c:strCache>
            </c:strRef>
          </c:tx>
          <c:spPr>
            <a:solidFill>
              <a:schemeClr val="accent1"/>
            </a:solidFill>
            <a:ln>
              <a:noFill/>
            </a:ln>
            <a:effectLst/>
          </c:spPr>
          <c:invertIfNegative val="0"/>
          <c:cat>
            <c:strRef>
              <c:f>WB_PIVOT!$A$26:$A$33</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WB_PIVOT!$B$26:$B$33</c:f>
              <c:numCache>
                <c:formatCode>General</c:formatCode>
                <c:ptCount val="7"/>
                <c:pt idx="0">
                  <c:v>13.62419987</c:v>
                </c:pt>
                <c:pt idx="1">
                  <c:v>22.686300280000001</c:v>
                </c:pt>
                <c:pt idx="2">
                  <c:v>35.764099119999997</c:v>
                </c:pt>
                <c:pt idx="3">
                  <c:v>17.070901719916002</c:v>
                </c:pt>
                <c:pt idx="4">
                  <c:v>89.430284857571195</c:v>
                </c:pt>
                <c:pt idx="5">
                  <c:v>29.523500439999999</c:v>
                </c:pt>
                <c:pt idx="6">
                  <c:v>2.731400013</c:v>
                </c:pt>
              </c:numCache>
            </c:numRef>
          </c:val>
          <c:extLst>
            <c:ext xmlns:c16="http://schemas.microsoft.com/office/drawing/2014/chart" uri="{C3380CC4-5D6E-409C-BE32-E72D297353CC}">
              <c16:uniqueId val="{00000000-F084-47AA-B3A4-E2504F1866F4}"/>
            </c:ext>
          </c:extLst>
        </c:ser>
        <c:ser>
          <c:idx val="1"/>
          <c:order val="1"/>
          <c:tx>
            <c:strRef>
              <c:f>WB_PIVOT!$C$25</c:f>
              <c:strCache>
                <c:ptCount val="1"/>
                <c:pt idx="0">
                  <c:v>Max of Internet Use (%)3</c:v>
                </c:pt>
              </c:strCache>
            </c:strRef>
          </c:tx>
          <c:spPr>
            <a:solidFill>
              <a:schemeClr val="accent2"/>
            </a:solidFill>
            <a:ln>
              <a:noFill/>
            </a:ln>
            <a:effectLst/>
          </c:spPr>
          <c:invertIfNegative val="0"/>
          <c:cat>
            <c:strRef>
              <c:f>WB_PIVOT!$A$26:$A$33</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WB_PIVOT!$C$26:$C$33</c:f>
              <c:numCache>
                <c:formatCode>General</c:formatCode>
                <c:ptCount val="7"/>
                <c:pt idx="0">
                  <c:v>96.157579184238998</c:v>
                </c:pt>
                <c:pt idx="1">
                  <c:v>99.504941169378696</c:v>
                </c:pt>
                <c:pt idx="2">
                  <c:v>90.693298339999998</c:v>
                </c:pt>
                <c:pt idx="3">
                  <c:v>99.701504380777806</c:v>
                </c:pt>
                <c:pt idx="4">
                  <c:v>91.912902829999993</c:v>
                </c:pt>
                <c:pt idx="5">
                  <c:v>77.469703670000001</c:v>
                </c:pt>
                <c:pt idx="6">
                  <c:v>76.634201050000001</c:v>
                </c:pt>
              </c:numCache>
            </c:numRef>
          </c:val>
          <c:extLst>
            <c:ext xmlns:c16="http://schemas.microsoft.com/office/drawing/2014/chart" uri="{C3380CC4-5D6E-409C-BE32-E72D297353CC}">
              <c16:uniqueId val="{00000002-F084-47AA-B3A4-E2504F1866F4}"/>
            </c:ext>
          </c:extLst>
        </c:ser>
        <c:ser>
          <c:idx val="2"/>
          <c:order val="2"/>
          <c:tx>
            <c:strRef>
              <c:f>WB_PIVOT!$D$25</c:f>
              <c:strCache>
                <c:ptCount val="1"/>
                <c:pt idx="0">
                  <c:v>Average of Internet Use (%)</c:v>
                </c:pt>
              </c:strCache>
            </c:strRef>
          </c:tx>
          <c:spPr>
            <a:solidFill>
              <a:schemeClr val="accent3"/>
            </a:solidFill>
            <a:ln>
              <a:noFill/>
            </a:ln>
            <a:effectLst/>
          </c:spPr>
          <c:invertIfNegative val="0"/>
          <c:cat>
            <c:strRef>
              <c:f>WB_PIVOT!$A$26:$A$33</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WB_PIVOT!$D$26:$D$33</c:f>
              <c:numCache>
                <c:formatCode>General</c:formatCode>
                <c:ptCount val="7"/>
                <c:pt idx="0">
                  <c:v>62.182989503447459</c:v>
                </c:pt>
                <c:pt idx="1">
                  <c:v>81.040702994166963</c:v>
                </c:pt>
                <c:pt idx="2">
                  <c:v>64.770251654996912</c:v>
                </c:pt>
                <c:pt idx="3">
                  <c:v>70.068157109876481</c:v>
                </c:pt>
                <c:pt idx="4">
                  <c:v>90.671593843785587</c:v>
                </c:pt>
                <c:pt idx="5">
                  <c:v>46.152200698333331</c:v>
                </c:pt>
                <c:pt idx="6">
                  <c:v>27.19036851665502</c:v>
                </c:pt>
              </c:numCache>
            </c:numRef>
          </c:val>
          <c:extLst>
            <c:ext xmlns:c16="http://schemas.microsoft.com/office/drawing/2014/chart" uri="{C3380CC4-5D6E-409C-BE32-E72D297353CC}">
              <c16:uniqueId val="{00000004-F084-47AA-B3A4-E2504F1866F4}"/>
            </c:ext>
          </c:extLst>
        </c:ser>
        <c:dLbls>
          <c:showLegendKey val="0"/>
          <c:showVal val="0"/>
          <c:showCatName val="0"/>
          <c:showSerName val="0"/>
          <c:showPercent val="0"/>
          <c:showBubbleSize val="0"/>
        </c:dLbls>
        <c:gapWidth val="182"/>
        <c:axId val="338495495"/>
        <c:axId val="338527751"/>
      </c:barChart>
      <c:catAx>
        <c:axId val="338495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527751"/>
        <c:crosses val="autoZero"/>
        <c:auto val="1"/>
        <c:lblAlgn val="ctr"/>
        <c:lblOffset val="100"/>
        <c:noMultiLvlLbl val="0"/>
      </c:catAx>
      <c:valAx>
        <c:axId val="338527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495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Range of Country-Level Internet Use by Region, 2019</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Range</c:v>
          </c:tx>
          <c:spPr>
            <a:solidFill>
              <a:schemeClr val="accent1"/>
            </a:solidFill>
            <a:ln>
              <a:noFill/>
            </a:ln>
            <a:effectLst/>
          </c:spPr>
          <c:invertIfNegative val="0"/>
          <c:cat>
            <c:strRef>
              <c:f>WB_PIVOT!$A$37:$A$43</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WB_PIVOT!$D$37:$D$43</c:f>
              <c:numCache>
                <c:formatCode>General</c:formatCode>
                <c:ptCount val="7"/>
                <c:pt idx="0">
                  <c:v>82.533379314238999</c:v>
                </c:pt>
                <c:pt idx="1">
                  <c:v>76.818640889378699</c:v>
                </c:pt>
                <c:pt idx="2">
                  <c:v>54.929199220000001</c:v>
                </c:pt>
                <c:pt idx="3">
                  <c:v>82.630602660861797</c:v>
                </c:pt>
                <c:pt idx="4">
                  <c:v>2.4826179724287982</c:v>
                </c:pt>
                <c:pt idx="5">
                  <c:v>47.946203230000002</c:v>
                </c:pt>
                <c:pt idx="6">
                  <c:v>73.902801037000003</c:v>
                </c:pt>
              </c:numCache>
            </c:numRef>
          </c:val>
          <c:extLst>
            <c:ext xmlns:c16="http://schemas.microsoft.com/office/drawing/2014/chart" uri="{C3380CC4-5D6E-409C-BE32-E72D297353CC}">
              <c16:uniqueId val="{00000000-808E-4428-9AEE-5DEF953D9929}"/>
            </c:ext>
          </c:extLst>
        </c:ser>
        <c:dLbls>
          <c:showLegendKey val="0"/>
          <c:showVal val="0"/>
          <c:showCatName val="0"/>
          <c:showSerName val="0"/>
          <c:showPercent val="0"/>
          <c:showBubbleSize val="0"/>
        </c:dLbls>
        <c:gapWidth val="182"/>
        <c:axId val="338462727"/>
        <c:axId val="338469383"/>
      </c:barChart>
      <c:catAx>
        <c:axId val="338462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469383"/>
        <c:crosses val="autoZero"/>
        <c:auto val="1"/>
        <c:lblAlgn val="ctr"/>
        <c:lblOffset val="100"/>
        <c:noMultiLvlLbl val="0"/>
      </c:catAx>
      <c:valAx>
        <c:axId val="338469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layout>
            <c:manualLayout>
              <c:xMode val="edge"/>
              <c:yMode val="edge"/>
              <c:x val="0.13186604078336361"/>
              <c:y val="0.7070033334440789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462727"/>
        <c:crosses val="autoZero"/>
        <c:crossBetween val="between"/>
      </c:valAx>
      <c:spPr>
        <a:noFill/>
        <a:ln>
          <a:noFill/>
        </a:ln>
        <a:effectLst/>
      </c:spPr>
    </c:plotArea>
    <c:legend>
      <c:legendPos val="b"/>
      <c:layout>
        <c:manualLayout>
          <c:xMode val="edge"/>
          <c:yMode val="edge"/>
          <c:x val="0.48312184534625485"/>
          <c:y val="0.80379680388052754"/>
          <c:w val="0.12786859873474046"/>
          <c:h val="9.49373733346622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[Day5_WorldBank_Internet_Use.xlsx]WB_PIVOT!PivotTable3</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Top 5 Countries by Internet Use — South Asia, 2019</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WB_PIVOT!$C$58</c:f>
              <c:strCache>
                <c:ptCount val="1"/>
                <c:pt idx="0">
                  <c:v>Total</c:v>
                </c:pt>
              </c:strCache>
            </c:strRef>
          </c:tx>
          <c:spPr>
            <a:solidFill>
              <a:schemeClr val="accent1"/>
            </a:solidFill>
            <a:ln>
              <a:noFill/>
            </a:ln>
            <a:effectLst/>
          </c:spPr>
          <c:invertIfNegative val="0"/>
          <c:cat>
            <c:multiLvlStrRef>
              <c:f>WB_PIVOT!$A$59:$B$66</c:f>
              <c:multiLvlStrCache>
                <c:ptCount val="6"/>
                <c:lvl>
                  <c:pt idx="0">
                    <c:v>Maldives</c:v>
                  </c:pt>
                  <c:pt idx="1">
                    <c:v>Bhutan</c:v>
                  </c:pt>
                  <c:pt idx="2">
                    <c:v>Nepal</c:v>
                  </c:pt>
                  <c:pt idx="3">
                    <c:v>Sri Lanka</c:v>
                  </c:pt>
                  <c:pt idx="4">
                    <c:v>Bangladesh</c:v>
                  </c:pt>
                  <c:pt idx="5">
                    <c:v>India</c:v>
                  </c:pt>
                </c:lvl>
                <c:lvl>
                  <c:pt idx="0">
                    <c:v>South Asia</c:v>
                  </c:pt>
                </c:lvl>
              </c:multiLvlStrCache>
            </c:multiLvlStrRef>
          </c:cat>
          <c:val>
            <c:numRef>
              <c:f>WB_PIVOT!$C$59:$C$66</c:f>
              <c:numCache>
                <c:formatCode>General</c:formatCode>
                <c:ptCount val="6"/>
                <c:pt idx="0">
                  <c:v>77.469703670000001</c:v>
                </c:pt>
                <c:pt idx="1">
                  <c:v>74.17939758</c:v>
                </c:pt>
                <c:pt idx="2">
                  <c:v>33.336601260000002</c:v>
                </c:pt>
                <c:pt idx="3">
                  <c:v>32.020900730000001</c:v>
                </c:pt>
                <c:pt idx="4">
                  <c:v>30.383100509999998</c:v>
                </c:pt>
                <c:pt idx="5">
                  <c:v>29.523500439999999</c:v>
                </c:pt>
              </c:numCache>
            </c:numRef>
          </c:val>
          <c:extLst>
            <c:ext xmlns:c16="http://schemas.microsoft.com/office/drawing/2014/chart" uri="{C3380CC4-5D6E-409C-BE32-E72D297353CC}">
              <c16:uniqueId val="{00000000-91FC-47F9-87C4-293DB1445D5D}"/>
            </c:ext>
          </c:extLst>
        </c:ser>
        <c:dLbls>
          <c:showLegendKey val="0"/>
          <c:showVal val="0"/>
          <c:showCatName val="0"/>
          <c:showSerName val="0"/>
          <c:showPercent val="0"/>
          <c:showBubbleSize val="0"/>
        </c:dLbls>
        <c:gapWidth val="182"/>
        <c:axId val="367820295"/>
        <c:axId val="427853831"/>
      </c:barChart>
      <c:catAx>
        <c:axId val="367820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853831"/>
        <c:crosses val="autoZero"/>
        <c:auto val="1"/>
        <c:lblAlgn val="ctr"/>
        <c:lblOffset val="100"/>
        <c:noMultiLvlLbl val="0"/>
      </c:catAx>
      <c:valAx>
        <c:axId val="427853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820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609600</xdr:colOff>
      <xdr:row>2</xdr:row>
      <xdr:rowOff>28575</xdr:rowOff>
    </xdr:from>
    <xdr:to>
      <xdr:col>7</xdr:col>
      <xdr:colOff>647700</xdr:colOff>
      <xdr:row>15</xdr:row>
      <xdr:rowOff>142875</xdr:rowOff>
    </xdr:to>
    <xdr:graphicFrame macro="">
      <xdr:nvGraphicFramePr>
        <xdr:cNvPr id="2" name="Chart 1">
          <a:extLst>
            <a:ext uri="{FF2B5EF4-FFF2-40B4-BE49-F238E27FC236}">
              <a16:creationId xmlns:a16="http://schemas.microsoft.com/office/drawing/2014/main" id="{52205BB0-69FD-3BC7-1FB4-AFD8169C2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xdr:colOff>
      <xdr:row>21</xdr:row>
      <xdr:rowOff>95250</xdr:rowOff>
    </xdr:from>
    <xdr:to>
      <xdr:col>8</xdr:col>
      <xdr:colOff>495300</xdr:colOff>
      <xdr:row>35</xdr:row>
      <xdr:rowOff>161925</xdr:rowOff>
    </xdr:to>
    <xdr:graphicFrame macro="">
      <xdr:nvGraphicFramePr>
        <xdr:cNvPr id="5" name="Chart 4">
          <a:extLst>
            <a:ext uri="{FF2B5EF4-FFF2-40B4-BE49-F238E27FC236}">
              <a16:creationId xmlns:a16="http://schemas.microsoft.com/office/drawing/2014/main" id="{0FC47129-D801-FD85-F068-AF4E0841418A}"/>
            </a:ext>
            <a:ext uri="{147F2762-F138-4A5C-976F-8EAC2B608ADB}">
              <a16:predDERef xmlns:a16="http://schemas.microsoft.com/office/drawing/2014/main" pred="{52205BB0-69FD-3BC7-1FB4-AFD8169C2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66675</xdr:colOff>
      <xdr:row>35</xdr:row>
      <xdr:rowOff>161925</xdr:rowOff>
    </xdr:from>
    <xdr:to>
      <xdr:col>8</xdr:col>
      <xdr:colOff>666750</xdr:colOff>
      <xdr:row>47</xdr:row>
      <xdr:rowOff>133350</xdr:rowOff>
    </xdr:to>
    <xdr:graphicFrame macro="">
      <xdr:nvGraphicFramePr>
        <xdr:cNvPr id="6" name="Chart 5">
          <a:extLst>
            <a:ext uri="{FF2B5EF4-FFF2-40B4-BE49-F238E27FC236}">
              <a16:creationId xmlns:a16="http://schemas.microsoft.com/office/drawing/2014/main" id="{B5A3BCC9-C695-B85D-F2B4-B5AA98EFAD4C}"/>
            </a:ext>
            <a:ext uri="{147F2762-F138-4A5C-976F-8EAC2B608ADB}">
              <a16:predDERef xmlns:a16="http://schemas.microsoft.com/office/drawing/2014/main" pred="{0FC47129-D801-FD85-F068-AF4E08414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9525</xdr:colOff>
      <xdr:row>56</xdr:row>
      <xdr:rowOff>0</xdr:rowOff>
    </xdr:from>
    <xdr:to>
      <xdr:col>6</xdr:col>
      <xdr:colOff>276225</xdr:colOff>
      <xdr:row>67</xdr:row>
      <xdr:rowOff>180975</xdr:rowOff>
    </xdr:to>
    <xdr:graphicFrame macro="">
      <xdr:nvGraphicFramePr>
        <xdr:cNvPr id="8" name="Chart 7">
          <a:extLst>
            <a:ext uri="{FF2B5EF4-FFF2-40B4-BE49-F238E27FC236}">
              <a16:creationId xmlns:a16="http://schemas.microsoft.com/office/drawing/2014/main" id="{88D3E279-F70B-7F44-0CFE-8A1A226A0856}"/>
            </a:ext>
            <a:ext uri="{147F2762-F138-4A5C-976F-8EAC2B608ADB}">
              <a16:predDERef xmlns:a16="http://schemas.microsoft.com/office/drawing/2014/main" pred="{B5A3BCC9-C695-B85D-F2B4-B5AA98EFAD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15.881461226854" createdVersion="8" refreshedVersion="8" minRefreshableVersion="3" recordCount="189" xr:uid="{C269F698-7BD6-4900-AB64-833D11C2A1E1}">
  <cacheSource type="worksheet">
    <worksheetSource ref="A1:D190" sheet="WB_ANALYSIS_DATA"/>
  </cacheSource>
  <cacheFields count="4">
    <cacheField name="Country Name" numFmtId="0">
      <sharedItems count="189">
        <s v="Afghanistan"/>
        <s v="Angola"/>
        <s v="Albania"/>
        <s v="Andorra"/>
        <s v="United Arab Emirates"/>
        <s v="Argentina"/>
        <s v="Armenia"/>
        <s v="Antigua and Barbuda"/>
        <s v="Australia"/>
        <s v="Austria"/>
        <s v="Azerbaijan"/>
        <s v="Burundi"/>
        <s v="Belgium"/>
        <s v="Benin"/>
        <s v="Burkina Faso"/>
        <s v="Bangladesh"/>
        <s v="Bulgaria"/>
        <s v="Bahrain"/>
        <s v="Bahamas, The"/>
        <s v="Bosnia and Herzegovina"/>
        <s v="Belarus"/>
        <s v="Belize"/>
        <s v="Bolivia"/>
        <s v="Brazil"/>
        <s v="Barbados"/>
        <s v="Brunei Darussalam"/>
        <s v="Bhutan"/>
        <s v="Botswana"/>
        <s v="Central African Republic"/>
        <s v="Canada"/>
        <s v="Switzerland"/>
        <s v="Chile"/>
        <s v="China"/>
        <s v="Cote d'Ivoire"/>
        <s v="Cameroon"/>
        <s v="Congo, Dem. Rep."/>
        <s v="Congo, Rep."/>
        <s v="Colombia"/>
        <s v="Comoros"/>
        <s v="Cabo Verde"/>
        <s v="Costa Rica"/>
        <s v="Cuba"/>
        <s v="Cyprus"/>
        <s v="Czechia"/>
        <s v="Germany"/>
        <s v="Djibouti"/>
        <s v="Dominica"/>
        <s v="Denmark"/>
        <s v="Dominican Republic"/>
        <s v="Algeria"/>
        <s v="Ecuador"/>
        <s v="Egypt, Arab Rep."/>
        <s v="Eritrea"/>
        <s v="Spain"/>
        <s v="Estonia"/>
        <s v="Ethiopia"/>
        <s v="Finland"/>
        <s v="Fiji"/>
        <s v="France"/>
        <s v="Micronesia, Fed. Sts."/>
        <s v="Gabon"/>
        <s v="United Kingdom"/>
        <s v="Georgia"/>
        <s v="Ghana"/>
        <s v="Guinea"/>
        <s v="Gambia, The"/>
        <s v="Guinea-Bissau"/>
        <s v="Equatorial Guinea"/>
        <s v="Greece"/>
        <s v="Grenada"/>
        <s v="Guatemala"/>
        <s v="Guyana"/>
        <s v="Hong Kong SAR, China"/>
        <s v="Honduras"/>
        <s v="Croatia"/>
        <s v="Haiti"/>
        <s v="Hungary"/>
        <s v="Indonesia"/>
        <s v="India"/>
        <s v="Ireland"/>
        <s v="Iran, Islamic Rep."/>
        <s v="Iraq"/>
        <s v="Iceland"/>
        <s v="Israel"/>
        <s v="Italy"/>
        <s v="Jamaica"/>
        <s v="Jordan"/>
        <s v="Japan"/>
        <s v="Kazakhstan"/>
        <s v="Kenya"/>
        <s v="Kyrgyz Republic"/>
        <s v="Cambodia"/>
        <s v="Kiribati"/>
        <s v="St. Kitts and Nevis"/>
        <s v="Korea, Rep."/>
        <s v="Kuwait"/>
        <s v="Lao PDR"/>
        <s v="Lebanon"/>
        <s v="Liberia"/>
        <s v="Libya"/>
        <s v="St. Lucia"/>
        <s v="Liechtenstein"/>
        <s v="Sri Lanka"/>
        <s v="Lesotho"/>
        <s v="Lithuania"/>
        <s v="Luxembourg"/>
        <s v="Latvia"/>
        <s v="Macao SAR, China"/>
        <s v="Morocco"/>
        <s v="Monaco"/>
        <s v="Moldova"/>
        <s v="Madagascar"/>
        <s v="Maldives"/>
        <s v="Mexico"/>
        <s v="Marshall Islands"/>
        <s v="North Macedonia"/>
        <s v="Mali"/>
        <s v="Malta"/>
        <s v="Myanmar"/>
        <s v="Montenegro"/>
        <s v="Mongolia"/>
        <s v="Mozambique"/>
        <s v="Mauritania"/>
        <s v="Mauritius"/>
        <s v="Malawi"/>
        <s v="Malaysia"/>
        <s v="Namibia"/>
        <s v="Niger"/>
        <s v="Nigeria"/>
        <s v="Nicaragua"/>
        <s v="Netherlands"/>
        <s v="Norway"/>
        <s v="Nepal"/>
        <s v="Naoero"/>
        <s v="New Zealand"/>
        <s v="Oman"/>
        <s v="Pakistan"/>
        <s v="Panama"/>
        <s v="Peru"/>
        <s v="Philippines"/>
        <s v="Papua New Guinea"/>
        <s v="Poland"/>
        <s v="Puerto Rico (US)"/>
        <s v="Portugal"/>
        <s v="Paraguay"/>
        <s v="West Bank and Gaza"/>
        <s v="Qatar"/>
        <s v="Romania"/>
        <s v="Russian Federation"/>
        <s v="Rwanda"/>
        <s v="Saudi Arabia"/>
        <s v="Senegal"/>
        <s v="Singapore"/>
        <s v="Solomon Islands"/>
        <s v="Sierra Leone"/>
        <s v="El Salvador"/>
        <s v="San Marino"/>
        <s v="Somalia, Fed. Rep."/>
        <s v="Serbia"/>
        <s v="South Sudan"/>
        <s v="Sao Tome and Principe"/>
        <s v="Suriname"/>
        <s v="Slovak Republic"/>
        <s v="Slovenia"/>
        <s v="Sweden"/>
        <s v="Eswatini"/>
        <s v="Seychelles"/>
        <s v="Chad"/>
        <s v="Togo"/>
        <s v="Thailand"/>
        <s v="Tajikistan"/>
        <s v="Timor-Leste"/>
        <s v="Tonga"/>
        <s v="Trinidad and Tobago"/>
        <s v="Tunisia"/>
        <s v="Turkiye"/>
        <s v="Tanzania"/>
        <s v="Uganda"/>
        <s v="Ukraine"/>
        <s v="Uruguay"/>
        <s v="United States"/>
        <s v="Uzbekistan"/>
        <s v="St. Vincent and the Grenadines"/>
        <s v="Venezuela, RB"/>
        <s v="Viet Nam"/>
        <s v="Yemen, Rep."/>
        <s v="South Africa"/>
        <s v="Zambia"/>
        <s v="Zimbabwe"/>
      </sharedItems>
    </cacheField>
    <cacheField name="Country Code" numFmtId="0">
      <sharedItems/>
    </cacheField>
    <cacheField name="Region" numFmtId="0">
      <sharedItems count="7">
        <s v="Middle East &amp; North Africa"/>
        <s v="Sub-Saharan Africa"/>
        <s v="Europe &amp; Central Asia"/>
        <s v="Latin America &amp; Caribbean"/>
        <s v="East Asia &amp; Pacific"/>
        <s v="South Asia"/>
        <s v="North America"/>
      </sharedItems>
    </cacheField>
    <cacheField name="Internet Use (%)" numFmtId="0">
      <sharedItems containsSemiMixedTypes="0" containsString="0" containsNumber="1" minValue="2.731400013" maxValue="99.701504380777806"/>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9">
  <r>
    <x v="0"/>
    <s v="AFG"/>
    <x v="0"/>
    <n v="17.600000380000001"/>
  </r>
  <r>
    <x v="1"/>
    <s v="AGO"/>
    <x v="1"/>
    <n v="32.129398350000002"/>
  </r>
  <r>
    <x v="2"/>
    <s v="ALB"/>
    <x v="2"/>
    <n v="68.550391121800601"/>
  </r>
  <r>
    <x v="3"/>
    <s v="AND"/>
    <x v="2"/>
    <n v="90.718696589999993"/>
  </r>
  <r>
    <x v="4"/>
    <s v="ARE"/>
    <x v="0"/>
    <n v="99.149997956124295"/>
  </r>
  <r>
    <x v="5"/>
    <s v="ARG"/>
    <x v="3"/>
    <n v="79.9469520347551"/>
  </r>
  <r>
    <x v="6"/>
    <s v="ARM"/>
    <x v="2"/>
    <n v="66.543949686615903"/>
  </r>
  <r>
    <x v="7"/>
    <s v="ATG"/>
    <x v="3"/>
    <n v="71.092597960000006"/>
  </r>
  <r>
    <x v="8"/>
    <s v="AUS"/>
    <x v="4"/>
    <n v="93.609901429999994"/>
  </r>
  <r>
    <x v="9"/>
    <s v="AUT"/>
    <x v="2"/>
    <n v="87.752204787006903"/>
  </r>
  <r>
    <x v="10"/>
    <s v="AZE"/>
    <x v="2"/>
    <n v="81.099999065154705"/>
  </r>
  <r>
    <x v="11"/>
    <s v="BDI"/>
    <x v="1"/>
    <n v="6.0721998209999999"/>
  </r>
  <r>
    <x v="12"/>
    <s v="BEL"/>
    <x v="2"/>
    <n v="90.275428012141006"/>
  </r>
  <r>
    <x v="13"/>
    <s v="BEN"/>
    <x v="1"/>
    <n v="20.500999449999998"/>
  </r>
  <r>
    <x v="14"/>
    <s v="BFA"/>
    <x v="1"/>
    <n v="9.2718060095318595"/>
  </r>
  <r>
    <x v="15"/>
    <s v="BGD"/>
    <x v="5"/>
    <n v="30.383100509999998"/>
  </r>
  <r>
    <x v="16"/>
    <s v="BGR"/>
    <x v="2"/>
    <n v="67.946980941760302"/>
  </r>
  <r>
    <x v="17"/>
    <s v="BHR"/>
    <x v="0"/>
    <n v="99.701504380777806"/>
  </r>
  <r>
    <x v="18"/>
    <s v="BHS"/>
    <x v="3"/>
    <n v="90.693298339999998"/>
  </r>
  <r>
    <x v="19"/>
    <s v="BIH"/>
    <x v="2"/>
    <n v="69.946347631726596"/>
  </r>
  <r>
    <x v="20"/>
    <s v="BLR"/>
    <x v="2"/>
    <n v="82.789152091090102"/>
  </r>
  <r>
    <x v="21"/>
    <s v="BLZ"/>
    <x v="3"/>
    <n v="58.765201570000002"/>
  </r>
  <r>
    <x v="22"/>
    <s v="BOL"/>
    <x v="3"/>
    <n v="47.4748191121692"/>
  </r>
  <r>
    <x v="23"/>
    <s v="BRA"/>
    <x v="3"/>
    <n v="73.912439913358895"/>
  </r>
  <r>
    <x v="24"/>
    <s v="BRB"/>
    <x v="3"/>
    <n v="70.307098389999993"/>
  </r>
  <r>
    <x v="25"/>
    <s v="BRN"/>
    <x v="4"/>
    <n v="95"/>
  </r>
  <r>
    <x v="26"/>
    <s v="BTN"/>
    <x v="5"/>
    <n v="74.17939758"/>
  </r>
  <r>
    <x v="27"/>
    <s v="BWA"/>
    <x v="1"/>
    <n v="48.822799680000003"/>
  </r>
  <r>
    <x v="28"/>
    <s v="CAF"/>
    <x v="1"/>
    <n v="7.5092000959999998"/>
  </r>
  <r>
    <x v="29"/>
    <s v="CAN"/>
    <x v="6"/>
    <n v="91.912902829999993"/>
  </r>
  <r>
    <x v="30"/>
    <s v="CHE"/>
    <x v="2"/>
    <n v="93.146086953517695"/>
  </r>
  <r>
    <x v="31"/>
    <s v="CHL"/>
    <x v="3"/>
    <n v="85.017601010000007"/>
  </r>
  <r>
    <x v="32"/>
    <s v="CHN"/>
    <x v="4"/>
    <n v="64.080881297515006"/>
  </r>
  <r>
    <x v="33"/>
    <s v="CIV"/>
    <x v="1"/>
    <n v="36.288954565520498"/>
  </r>
  <r>
    <x v="34"/>
    <s v="CMR"/>
    <x v="1"/>
    <n v="36.539199830000001"/>
  </r>
  <r>
    <x v="35"/>
    <s v="COD"/>
    <x v="1"/>
    <n v="13.02970028"/>
  </r>
  <r>
    <x v="36"/>
    <s v="COG"/>
    <x v="1"/>
    <n v="16.116399770000001"/>
  </r>
  <r>
    <x v="37"/>
    <s v="COL"/>
    <x v="3"/>
    <n v="65.0069007159493"/>
  </r>
  <r>
    <x v="38"/>
    <s v="COM"/>
    <x v="1"/>
    <n v="16.38380051"/>
  </r>
  <r>
    <x v="39"/>
    <s v="CPV"/>
    <x v="1"/>
    <n v="61.943397759308802"/>
  </r>
  <r>
    <x v="40"/>
    <s v="CRI"/>
    <x v="3"/>
    <n v="81.2025964435269"/>
  </r>
  <r>
    <x v="41"/>
    <s v="CUB"/>
    <x v="3"/>
    <n v="67.970808656515203"/>
  </r>
  <r>
    <x v="42"/>
    <s v="CYP"/>
    <x v="2"/>
    <n v="86.063629961893497"/>
  </r>
  <r>
    <x v="43"/>
    <s v="CZE"/>
    <x v="2"/>
    <n v="80.866944413962202"/>
  </r>
  <r>
    <x v="44"/>
    <s v="DEU"/>
    <x v="2"/>
    <n v="88.134516909191603"/>
  </r>
  <r>
    <x v="45"/>
    <s v="DJI"/>
    <x v="0"/>
    <n v="58.4762001"/>
  </r>
  <r>
    <x v="46"/>
    <s v="DMA"/>
    <x v="3"/>
    <n v="73.382003780000005"/>
  </r>
  <r>
    <x v="47"/>
    <s v="DNK"/>
    <x v="2"/>
    <n v="98.046434752154894"/>
  </r>
  <r>
    <x v="48"/>
    <s v="DOM"/>
    <x v="3"/>
    <n v="79.715499879999996"/>
  </r>
  <r>
    <x v="49"/>
    <s v="DZA"/>
    <x v="0"/>
    <n v="55.790699009999997"/>
  </r>
  <r>
    <x v="50"/>
    <s v="ECU"/>
    <x v="3"/>
    <n v="59.2"/>
  </r>
  <r>
    <x v="51"/>
    <s v="EGY"/>
    <x v="0"/>
    <n v="57.282866399019497"/>
  </r>
  <r>
    <x v="52"/>
    <s v="ERI"/>
    <x v="1"/>
    <n v="11.22379971"/>
  </r>
  <r>
    <x v="53"/>
    <s v="ESP"/>
    <x v="2"/>
    <n v="90.718665325266997"/>
  </r>
  <r>
    <x v="54"/>
    <s v="EST"/>
    <x v="2"/>
    <n v="90.228928199791895"/>
  </r>
  <r>
    <x v="55"/>
    <s v="ETH"/>
    <x v="1"/>
    <n v="15.984600070000001"/>
  </r>
  <r>
    <x v="56"/>
    <s v="FIN"/>
    <x v="2"/>
    <n v="89.607385112977894"/>
  </r>
  <r>
    <x v="57"/>
    <s v="FJI"/>
    <x v="4"/>
    <n v="63.217899320000001"/>
  </r>
  <r>
    <x v="58"/>
    <s v="FRA"/>
    <x v="2"/>
    <n v="83.339744086688299"/>
  </r>
  <r>
    <x v="59"/>
    <s v="FSM"/>
    <x v="4"/>
    <n v="37.973701480000003"/>
  </r>
  <r>
    <x v="60"/>
    <s v="GAB"/>
    <x v="1"/>
    <n v="59.51760101"/>
  </r>
  <r>
    <x v="61"/>
    <s v="GBR"/>
    <x v="2"/>
    <n v="92.516628549713801"/>
  </r>
  <r>
    <x v="62"/>
    <s v="GEO"/>
    <x v="2"/>
    <n v="68.846713561697797"/>
  </r>
  <r>
    <x v="63"/>
    <s v="GHA"/>
    <x v="1"/>
    <n v="22.0732"/>
  </r>
  <r>
    <x v="64"/>
    <s v="GIN"/>
    <x v="1"/>
    <n v="23.89049911"/>
  </r>
  <r>
    <x v="65"/>
    <s v="GMB"/>
    <x v="1"/>
    <n v="31.118299480000001"/>
  </r>
  <r>
    <x v="66"/>
    <s v="GNB"/>
    <x v="1"/>
    <n v="17.92149925"/>
  </r>
  <r>
    <x v="67"/>
    <s v="GNQ"/>
    <x v="1"/>
    <n v="49.13370132"/>
  </r>
  <r>
    <x v="68"/>
    <s v="GRC"/>
    <x v="2"/>
    <n v="75.671206693175705"/>
  </r>
  <r>
    <x v="69"/>
    <s v="GRD"/>
    <x v="3"/>
    <n v="64.312797549999999"/>
  </r>
  <r>
    <x v="70"/>
    <s v="GTM"/>
    <x v="3"/>
    <n v="44.401049838501997"/>
  </r>
  <r>
    <x v="71"/>
    <s v="GUY"/>
    <x v="3"/>
    <n v="55.312698359999999"/>
  </r>
  <r>
    <x v="72"/>
    <s v="HKG"/>
    <x v="4"/>
    <n v="91.743400389158694"/>
  </r>
  <r>
    <x v="73"/>
    <s v="HND"/>
    <x v="3"/>
    <n v="39.388352185011101"/>
  </r>
  <r>
    <x v="74"/>
    <s v="HRV"/>
    <x v="2"/>
    <n v="79.079783675755394"/>
  </r>
  <r>
    <x v="75"/>
    <s v="HTI"/>
    <x v="3"/>
    <n v="35.764099119999997"/>
  </r>
  <r>
    <x v="76"/>
    <s v="HUN"/>
    <x v="2"/>
    <n v="80.371693605048193"/>
  </r>
  <r>
    <x v="77"/>
    <s v="IDN"/>
    <x v="4"/>
    <n v="47.690648978837501"/>
  </r>
  <r>
    <x v="78"/>
    <s v="IND"/>
    <x v="5"/>
    <n v="29.523500439999999"/>
  </r>
  <r>
    <x v="79"/>
    <s v="IRL"/>
    <x v="2"/>
    <n v="87.000055242514605"/>
  </r>
  <r>
    <x v="80"/>
    <s v="IRN"/>
    <x v="0"/>
    <n v="72.450904767206495"/>
  </r>
  <r>
    <x v="81"/>
    <s v="IRQ"/>
    <x v="0"/>
    <n v="44.326346551157897"/>
  </r>
  <r>
    <x v="82"/>
    <s v="ISL"/>
    <x v="2"/>
    <n v="99.504941169378696"/>
  </r>
  <r>
    <x v="83"/>
    <s v="ISR"/>
    <x v="0"/>
    <n v="86.787877618058303"/>
  </r>
  <r>
    <x v="84"/>
    <s v="ITA"/>
    <x v="2"/>
    <n v="67.850710287483594"/>
  </r>
  <r>
    <x v="85"/>
    <s v="JAM"/>
    <x v="3"/>
    <n v="70.841016974335602"/>
  </r>
  <r>
    <x v="86"/>
    <s v="JOR"/>
    <x v="0"/>
    <n v="70.084701539999998"/>
  </r>
  <r>
    <x v="87"/>
    <s v="JPN"/>
    <x v="4"/>
    <n v="92.730397814552504"/>
  </r>
  <r>
    <x v="88"/>
    <s v="KAZ"/>
    <x v="2"/>
    <n v="81.877620474628401"/>
  </r>
  <r>
    <x v="89"/>
    <s v="KEN"/>
    <x v="1"/>
    <n v="22.668773361817099"/>
  </r>
  <r>
    <x v="90"/>
    <s v="KGZ"/>
    <x v="2"/>
    <n v="64.099999999999994"/>
  </r>
  <r>
    <x v="91"/>
    <s v="KHM"/>
    <x v="4"/>
    <n v="52.305878224498002"/>
  </r>
  <r>
    <x v="92"/>
    <s v="KIR"/>
    <x v="4"/>
    <n v="41.792999270000003"/>
  </r>
  <r>
    <x v="93"/>
    <s v="KNA"/>
    <x v="3"/>
    <n v="69.434997559999999"/>
  </r>
  <r>
    <x v="94"/>
    <s v="KOR"/>
    <x v="4"/>
    <n v="96.157579184238998"/>
  </r>
  <r>
    <x v="95"/>
    <s v="KWT"/>
    <x v="0"/>
    <n v="99.542676451848905"/>
  </r>
  <r>
    <x v="96"/>
    <s v="LAO"/>
    <x v="4"/>
    <n v="47.032299039999998"/>
  </r>
  <r>
    <x v="97"/>
    <s v="LBN"/>
    <x v="0"/>
    <n v="81.481201170000006"/>
  </r>
  <r>
    <x v="98"/>
    <s v="LBR"/>
    <x v="1"/>
    <n v="19.89579964"/>
  </r>
  <r>
    <x v="99"/>
    <s v="LBY"/>
    <x v="0"/>
    <n v="71.404098509999997"/>
  </r>
  <r>
    <x v="100"/>
    <s v="LCA"/>
    <x v="3"/>
    <n v="61.080501560000002"/>
  </r>
  <r>
    <x v="101"/>
    <s v="LIE"/>
    <x v="2"/>
    <n v="93.146102909999996"/>
  </r>
  <r>
    <x v="102"/>
    <s v="LKA"/>
    <x v="5"/>
    <n v="32.020900730000001"/>
  </r>
  <r>
    <x v="103"/>
    <s v="LSO"/>
    <x v="1"/>
    <n v="42.301733569272997"/>
  </r>
  <r>
    <x v="104"/>
    <s v="LTU"/>
    <x v="2"/>
    <n v="81.5818683764046"/>
  </r>
  <r>
    <x v="105"/>
    <s v="LUX"/>
    <x v="2"/>
    <n v="97.120635693272007"/>
  </r>
  <r>
    <x v="106"/>
    <s v="LVA"/>
    <x v="2"/>
    <n v="86.135456443430002"/>
  </r>
  <r>
    <x v="107"/>
    <s v="MAC"/>
    <x v="4"/>
    <n v="86.467925706258796"/>
  </r>
  <r>
    <x v="108"/>
    <s v="MAR"/>
    <x v="0"/>
    <n v="84.120363046760204"/>
  </r>
  <r>
    <x v="109"/>
    <s v="MCO"/>
    <x v="2"/>
    <n v="98"/>
  </r>
  <r>
    <x v="110"/>
    <s v="MDA"/>
    <x v="2"/>
    <n v="73.326103209999999"/>
  </r>
  <r>
    <x v="111"/>
    <s v="MDG"/>
    <x v="1"/>
    <n v="9.379400253"/>
  </r>
  <r>
    <x v="112"/>
    <s v="MDV"/>
    <x v="5"/>
    <n v="77.469703670000001"/>
  </r>
  <r>
    <x v="113"/>
    <s v="MEX"/>
    <x v="3"/>
    <n v="69.6321092705209"/>
  </r>
  <r>
    <x v="114"/>
    <s v="MHL"/>
    <x v="4"/>
    <n v="49.757499690000003"/>
  </r>
  <r>
    <x v="115"/>
    <s v="MKD"/>
    <x v="2"/>
    <n v="81.4128827618364"/>
  </r>
  <r>
    <x v="116"/>
    <s v="MLI"/>
    <x v="1"/>
    <n v="24.960300449999998"/>
  </r>
  <r>
    <x v="117"/>
    <s v="MLT"/>
    <x v="0"/>
    <n v="85.778596379803105"/>
  </r>
  <r>
    <x v="118"/>
    <s v="MMR"/>
    <x v="4"/>
    <n v="36.540500639999998"/>
  </r>
  <r>
    <x v="119"/>
    <s v="MNE"/>
    <x v="2"/>
    <n v="73.476665747869106"/>
  </r>
  <r>
    <x v="120"/>
    <s v="MNG"/>
    <x v="4"/>
    <n v="51.079994082603001"/>
  </r>
  <r>
    <x v="121"/>
    <s v="MOZ"/>
    <x v="1"/>
    <n v="12.47929955"/>
  </r>
  <r>
    <x v="122"/>
    <s v="MRT"/>
    <x v="1"/>
    <n v="25.097799299999998"/>
  </r>
  <r>
    <x v="123"/>
    <s v="MUS"/>
    <x v="1"/>
    <n v="61.7299551453346"/>
  </r>
  <r>
    <x v="124"/>
    <s v="MWI"/>
    <x v="1"/>
    <n v="11.05860043"/>
  </r>
  <r>
    <x v="125"/>
    <s v="MYS"/>
    <x v="4"/>
    <n v="84.187145007828093"/>
  </r>
  <r>
    <x v="126"/>
    <s v="NAM"/>
    <x v="1"/>
    <n v="49.775901789999999"/>
  </r>
  <r>
    <x v="127"/>
    <s v="NER"/>
    <x v="1"/>
    <n v="11.285499570000001"/>
  </r>
  <r>
    <x v="128"/>
    <s v="NGA"/>
    <x v="1"/>
    <n v="29.744100570000001"/>
  </r>
  <r>
    <x v="129"/>
    <s v="NIC"/>
    <x v="3"/>
    <n v="39.010799409999997"/>
  </r>
  <r>
    <x v="130"/>
    <s v="NLD"/>
    <x v="2"/>
    <n v="93.288590604026894"/>
  </r>
  <r>
    <x v="131"/>
    <s v="NOR"/>
    <x v="2"/>
    <n v="98.000004385314199"/>
  </r>
  <r>
    <x v="132"/>
    <s v="NPL"/>
    <x v="5"/>
    <n v="33.336601260000002"/>
  </r>
  <r>
    <x v="133"/>
    <s v="NRU"/>
    <x v="4"/>
    <n v="74.737899780000006"/>
  </r>
  <r>
    <x v="134"/>
    <s v="NZL"/>
    <x v="4"/>
    <n v="89.863700870000002"/>
  </r>
  <r>
    <x v="135"/>
    <s v="OMN"/>
    <x v="0"/>
    <n v="90.25939941"/>
  </r>
  <r>
    <x v="136"/>
    <s v="PAK"/>
    <x v="0"/>
    <n v="17.070901719916002"/>
  </r>
  <r>
    <x v="137"/>
    <s v="PAN"/>
    <x v="3"/>
    <n v="63.628414773145103"/>
  </r>
  <r>
    <x v="138"/>
    <s v="PER"/>
    <x v="3"/>
    <n v="59.950503604900597"/>
  </r>
  <r>
    <x v="139"/>
    <s v="PHL"/>
    <x v="4"/>
    <n v="43.026611868027899"/>
  </r>
  <r>
    <x v="140"/>
    <s v="PNG"/>
    <x v="4"/>
    <n v="13.62419987"/>
  </r>
  <r>
    <x v="141"/>
    <s v="POL"/>
    <x v="2"/>
    <n v="80.435906876867307"/>
  </r>
  <r>
    <x v="142"/>
    <s v="PRI"/>
    <x v="3"/>
    <n v="77.7364393708352"/>
  </r>
  <r>
    <x v="143"/>
    <s v="PRT"/>
    <x v="2"/>
    <n v="75.346377940871207"/>
  </r>
  <r>
    <x v="144"/>
    <s v="PRY"/>
    <x v="3"/>
    <n v="68.517628422226394"/>
  </r>
  <r>
    <x v="145"/>
    <s v="PSE"/>
    <x v="0"/>
    <n v="70.622583700175795"/>
  </r>
  <r>
    <x v="146"/>
    <s v="QAT"/>
    <x v="0"/>
    <n v="99.652804208638898"/>
  </r>
  <r>
    <x v="147"/>
    <s v="ROU"/>
    <x v="2"/>
    <n v="73.657475754546496"/>
  </r>
  <r>
    <x v="148"/>
    <s v="RUS"/>
    <x v="2"/>
    <n v="82.642161867066804"/>
  </r>
  <r>
    <x v="149"/>
    <s v="RWA"/>
    <x v="1"/>
    <n v="21.357999800000002"/>
  </r>
  <r>
    <x v="150"/>
    <s v="SAU"/>
    <x v="0"/>
    <n v="95.724735595381205"/>
  </r>
  <r>
    <x v="151"/>
    <s v="SEN"/>
    <x v="1"/>
    <n v="43.379699709999997"/>
  </r>
  <r>
    <x v="152"/>
    <s v="SGP"/>
    <x v="4"/>
    <n v="88.949252685076203"/>
  </r>
  <r>
    <x v="153"/>
    <s v="SLB"/>
    <x v="4"/>
    <n v="22.488800049999998"/>
  </r>
  <r>
    <x v="154"/>
    <s v="SLE"/>
    <x v="1"/>
    <n v="15.71370029"/>
  </r>
  <r>
    <x v="155"/>
    <s v="SLV"/>
    <x v="3"/>
    <n v="50.491194067388797"/>
  </r>
  <r>
    <x v="156"/>
    <s v="SMR"/>
    <x v="2"/>
    <n v="67.850700380000006"/>
  </r>
  <r>
    <x v="157"/>
    <s v="SOM"/>
    <x v="1"/>
    <n v="2.731400013"/>
  </r>
  <r>
    <x v="158"/>
    <s v="SRB"/>
    <x v="2"/>
    <n v="77.416773621980198"/>
  </r>
  <r>
    <x v="159"/>
    <s v="SSD"/>
    <x v="1"/>
    <n v="6.6710000039999997"/>
  </r>
  <r>
    <x v="160"/>
    <s v="STP"/>
    <x v="1"/>
    <n v="44.257900239999998"/>
  </r>
  <r>
    <x v="161"/>
    <s v="SUR"/>
    <x v="3"/>
    <n v="62.033500670000002"/>
  </r>
  <r>
    <x v="162"/>
    <s v="SVK"/>
    <x v="2"/>
    <n v="82.8536605021784"/>
  </r>
  <r>
    <x v="163"/>
    <s v="SVN"/>
    <x v="2"/>
    <n v="83.108357802671705"/>
  </r>
  <r>
    <x v="164"/>
    <s v="SWE"/>
    <x v="2"/>
    <n v="94.493443407220198"/>
  </r>
  <r>
    <x v="165"/>
    <s v="SWZ"/>
    <x v="1"/>
    <n v="43.933898929999998"/>
  </r>
  <r>
    <x v="166"/>
    <s v="SYC"/>
    <x v="1"/>
    <n v="76.634201050000001"/>
  </r>
  <r>
    <x v="167"/>
    <s v="TCD"/>
    <x v="1"/>
    <n v="7.6181998249999996"/>
  </r>
  <r>
    <x v="168"/>
    <s v="TGO"/>
    <x v="1"/>
    <n v="20.727300639999999"/>
  </r>
  <r>
    <x v="169"/>
    <s v="THA"/>
    <x v="4"/>
    <n v="66.652419458752803"/>
  </r>
  <r>
    <x v="170"/>
    <s v="TJK"/>
    <x v="2"/>
    <n v="22.686300280000001"/>
  </r>
  <r>
    <x v="171"/>
    <s v="TLS"/>
    <x v="4"/>
    <n v="28.00460052"/>
  </r>
  <r>
    <x v="172"/>
    <s v="TON"/>
    <x v="4"/>
    <n v="51.562999730000001"/>
  </r>
  <r>
    <x v="173"/>
    <s v="TTO"/>
    <x v="3"/>
    <n v="74.986701969999999"/>
  </r>
  <r>
    <x v="174"/>
    <s v="TUN"/>
    <x v="0"/>
    <n v="66.6999983024144"/>
  </r>
  <r>
    <x v="175"/>
    <s v="TUR"/>
    <x v="2"/>
    <n v="73.976702287151099"/>
  </r>
  <r>
    <x v="176"/>
    <s v="TZA"/>
    <x v="1"/>
    <n v="16.590900420000001"/>
  </r>
  <r>
    <x v="177"/>
    <s v="UGA"/>
    <x v="1"/>
    <n v="11.72579956"/>
  </r>
  <r>
    <x v="178"/>
    <s v="UKR"/>
    <x v="2"/>
    <n v="70.124844299526302"/>
  </r>
  <r>
    <x v="179"/>
    <s v="URY"/>
    <x v="3"/>
    <n v="83.351533766754798"/>
  </r>
  <r>
    <x v="180"/>
    <s v="USA"/>
    <x v="6"/>
    <n v="89.430284857571195"/>
  </r>
  <r>
    <x v="181"/>
    <s v="UZB"/>
    <x v="2"/>
    <n v="70.399998648145797"/>
  </r>
  <r>
    <x v="182"/>
    <s v="VCT"/>
    <x v="3"/>
    <n v="59.576301569999998"/>
  </r>
  <r>
    <x v="183"/>
    <s v="VEN"/>
    <x v="3"/>
    <n v="49.050098419999998"/>
  </r>
  <r>
    <x v="184"/>
    <s v="VNM"/>
    <x v="4"/>
    <n v="68.661580205733799"/>
  </r>
  <r>
    <x v="185"/>
    <s v="YEM"/>
    <x v="0"/>
    <n v="17.490999219999999"/>
  </r>
  <r>
    <x v="186"/>
    <s v="ZAF"/>
    <x v="1"/>
    <n v="69.69689941"/>
  </r>
  <r>
    <x v="187"/>
    <s v="ZMB"/>
    <x v="1"/>
    <n v="14.471899990000001"/>
  </r>
  <r>
    <x v="188"/>
    <s v="ZWE"/>
    <x v="1"/>
    <n v="26.5883007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BB3CB4-3DE3-4051-BD03-9EDD2A482E79}" name="PivotTable3"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58:C66" firstHeaderRow="1" firstDataRow="1" firstDataCol="2"/>
  <pivotFields count="4">
    <pivotField axis="axisRow" compact="0" outline="0" showAll="0" sortType="descending">
      <items count="190">
        <item x="0"/>
        <item x="2"/>
        <item x="49"/>
        <item x="3"/>
        <item x="1"/>
        <item x="7"/>
        <item x="5"/>
        <item x="6"/>
        <item x="8"/>
        <item x="9"/>
        <item x="10"/>
        <item x="18"/>
        <item x="17"/>
        <item x="15"/>
        <item x="24"/>
        <item x="20"/>
        <item x="12"/>
        <item x="21"/>
        <item x="13"/>
        <item x="26"/>
        <item x="22"/>
        <item x="19"/>
        <item x="27"/>
        <item x="23"/>
        <item x="25"/>
        <item x="16"/>
        <item x="14"/>
        <item x="11"/>
        <item x="39"/>
        <item x="91"/>
        <item x="34"/>
        <item x="29"/>
        <item x="28"/>
        <item x="167"/>
        <item x="31"/>
        <item x="32"/>
        <item x="37"/>
        <item x="38"/>
        <item x="35"/>
        <item x="36"/>
        <item x="40"/>
        <item x="33"/>
        <item x="74"/>
        <item x="41"/>
        <item x="42"/>
        <item x="43"/>
        <item x="47"/>
        <item x="45"/>
        <item x="46"/>
        <item x="48"/>
        <item x="50"/>
        <item x="51"/>
        <item x="155"/>
        <item x="67"/>
        <item x="52"/>
        <item x="54"/>
        <item x="165"/>
        <item x="55"/>
        <item x="57"/>
        <item x="56"/>
        <item x="58"/>
        <item x="60"/>
        <item x="65"/>
        <item x="62"/>
        <item x="44"/>
        <item x="63"/>
        <item x="68"/>
        <item x="69"/>
        <item x="70"/>
        <item x="64"/>
        <item x="66"/>
        <item x="71"/>
        <item x="75"/>
        <item x="73"/>
        <item x="72"/>
        <item x="76"/>
        <item x="82"/>
        <item x="78"/>
        <item x="77"/>
        <item x="80"/>
        <item x="81"/>
        <item x="79"/>
        <item x="83"/>
        <item x="84"/>
        <item x="85"/>
        <item x="87"/>
        <item x="86"/>
        <item x="88"/>
        <item x="89"/>
        <item x="92"/>
        <item x="94"/>
        <item x="95"/>
        <item x="90"/>
        <item x="96"/>
        <item x="106"/>
        <item x="97"/>
        <item x="103"/>
        <item x="98"/>
        <item x="99"/>
        <item x="101"/>
        <item x="104"/>
        <item x="105"/>
        <item x="107"/>
        <item x="111"/>
        <item x="124"/>
        <item x="125"/>
        <item x="112"/>
        <item x="116"/>
        <item x="117"/>
        <item x="114"/>
        <item x="122"/>
        <item x="123"/>
        <item x="113"/>
        <item x="59"/>
        <item x="110"/>
        <item x="109"/>
        <item x="120"/>
        <item x="119"/>
        <item x="108"/>
        <item x="121"/>
        <item x="118"/>
        <item x="126"/>
        <item x="133"/>
        <item x="132"/>
        <item x="130"/>
        <item x="134"/>
        <item x="129"/>
        <item x="127"/>
        <item x="128"/>
        <item x="115"/>
        <item x="131"/>
        <item x="135"/>
        <item x="136"/>
        <item x="137"/>
        <item x="140"/>
        <item x="144"/>
        <item x="138"/>
        <item x="139"/>
        <item x="141"/>
        <item x="143"/>
        <item x="142"/>
        <item x="146"/>
        <item x="147"/>
        <item x="148"/>
        <item x="149"/>
        <item x="156"/>
        <item x="160"/>
        <item x="150"/>
        <item x="151"/>
        <item x="158"/>
        <item x="166"/>
        <item x="154"/>
        <item x="152"/>
        <item x="162"/>
        <item x="163"/>
        <item x="153"/>
        <item x="157"/>
        <item x="186"/>
        <item x="159"/>
        <item x="53"/>
        <item x="102"/>
        <item x="93"/>
        <item x="100"/>
        <item x="182"/>
        <item x="161"/>
        <item x="164"/>
        <item x="30"/>
        <item x="170"/>
        <item x="176"/>
        <item x="169"/>
        <item x="171"/>
        <item x="168"/>
        <item x="172"/>
        <item x="173"/>
        <item x="174"/>
        <item x="175"/>
        <item x="177"/>
        <item x="178"/>
        <item x="4"/>
        <item x="61"/>
        <item x="180"/>
        <item x="179"/>
        <item x="181"/>
        <item x="183"/>
        <item x="184"/>
        <item x="145"/>
        <item x="185"/>
        <item x="187"/>
        <item x="188"/>
        <item t="default"/>
      </items>
      <autoSortScope>
        <pivotArea dataOnly="0" outline="0" fieldPosition="0">
          <references count="1">
            <reference field="4294967294" count="1" selected="0">
              <x v="0"/>
            </reference>
          </references>
        </pivotArea>
      </autoSortScope>
    </pivotField>
    <pivotField compact="0" outline="0" showAll="0"/>
    <pivotField axis="axisRow" compact="0" outline="0" showAll="0">
      <items count="8">
        <item h="1" x="4"/>
        <item h="1" x="2"/>
        <item h="1" x="3"/>
        <item h="1" x="0"/>
        <item h="1" x="6"/>
        <item x="5"/>
        <item h="1" x="1"/>
        <item t="default"/>
      </items>
    </pivotField>
    <pivotField dataField="1" compact="0" outline="0" showAll="0"/>
  </pivotFields>
  <rowFields count="2">
    <field x="2"/>
    <field x="0"/>
  </rowFields>
  <rowItems count="8">
    <i>
      <x v="5"/>
      <x v="106"/>
    </i>
    <i r="1">
      <x v="19"/>
    </i>
    <i r="1">
      <x v="123"/>
    </i>
    <i r="1">
      <x v="160"/>
    </i>
    <i r="1">
      <x v="13"/>
    </i>
    <i r="1">
      <x v="77"/>
    </i>
    <i t="default">
      <x v="5"/>
    </i>
    <i t="grand">
      <x/>
    </i>
  </rowItems>
  <colItems count="1">
    <i/>
  </colItems>
  <dataFields count="1">
    <dataField name="Average of Internet Use (%)" fld="3" subtotal="average"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AA6BBF-AC80-4AE7-AAD0-BFA665047AA7}" name="PivotTable2"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25:D33" firstHeaderRow="0" firstDataRow="1" firstDataCol="1"/>
  <pivotFields count="4">
    <pivotField compact="0" outline="0" showAll="0"/>
    <pivotField compact="0" outline="0" showAll="0"/>
    <pivotField axis="axisRow" compact="0" outline="0" showAll="0">
      <items count="8">
        <item x="4"/>
        <item x="2"/>
        <item x="3"/>
        <item x="0"/>
        <item x="6"/>
        <item x="5"/>
        <item x="1"/>
        <item t="default"/>
      </items>
    </pivotField>
    <pivotField dataField="1" compact="0" outline="0" showAll="0"/>
  </pivotFields>
  <rowFields count="1">
    <field x="2"/>
  </rowFields>
  <rowItems count="8">
    <i>
      <x/>
    </i>
    <i>
      <x v="1"/>
    </i>
    <i>
      <x v="2"/>
    </i>
    <i>
      <x v="3"/>
    </i>
    <i>
      <x v="4"/>
    </i>
    <i>
      <x v="5"/>
    </i>
    <i>
      <x v="6"/>
    </i>
    <i t="grand">
      <x/>
    </i>
  </rowItems>
  <colFields count="1">
    <field x="-2"/>
  </colFields>
  <colItems count="3">
    <i>
      <x/>
    </i>
    <i i="1">
      <x v="1"/>
    </i>
    <i i="2">
      <x v="2"/>
    </i>
  </colItems>
  <dataFields count="3">
    <dataField name="Min of Internet Use (%)2" fld="3" subtotal="min" baseField="0" baseItem="0"/>
    <dataField name="Max of Internet Use (%)3" fld="3" subtotal="max" baseField="0" baseItem="0"/>
    <dataField name="Average of Internet Use (%)" fld="3" subtotal="average" baseField="0" baseItem="0"/>
  </dataFields>
  <chartFormats count="15">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70499F-748B-429C-A1C2-F189AD5EA156}" name="PivotTable1"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5:C13" firstHeaderRow="0" firstDataRow="1" firstDataCol="1"/>
  <pivotFields count="4">
    <pivotField compact="0" outline="0" showAll="0"/>
    <pivotField dataField="1" compact="0" outline="0" showAll="0"/>
    <pivotField axis="axisRow" compact="0" outline="0" showAll="0">
      <items count="8">
        <item x="4"/>
        <item x="2"/>
        <item x="3"/>
        <item x="0"/>
        <item x="6"/>
        <item x="5"/>
        <item x="1"/>
        <item t="default"/>
      </items>
    </pivotField>
    <pivotField dataField="1" compact="0" outline="0" showAll="0"/>
  </pivotFields>
  <rowFields count="1">
    <field x="2"/>
  </rowFields>
  <rowItems count="8">
    <i>
      <x/>
    </i>
    <i>
      <x v="1"/>
    </i>
    <i>
      <x v="2"/>
    </i>
    <i>
      <x v="3"/>
    </i>
    <i>
      <x v="4"/>
    </i>
    <i>
      <x v="5"/>
    </i>
    <i>
      <x v="6"/>
    </i>
    <i t="grand">
      <x/>
    </i>
  </rowItems>
  <colFields count="1">
    <field x="-2"/>
  </colFields>
  <colItems count="2">
    <i>
      <x/>
    </i>
    <i i="1">
      <x v="1"/>
    </i>
  </colItems>
  <dataFields count="2">
    <dataField name="Average of Internet Use (%)" fld="3" subtotal="average" baseField="0" baseItem="0"/>
    <dataField name="Count of Country Code" fld="1"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5F5A7-0E67-4074-8476-805CC5784C72}">
  <dimension ref="A1:BR270"/>
  <sheetViews>
    <sheetView topLeftCell="A71" workbookViewId="0">
      <selection activeCell="A137" sqref="A137"/>
    </sheetView>
  </sheetViews>
  <sheetFormatPr defaultRowHeight="15"/>
  <cols>
    <col min="1" max="1" width="60.140625" bestFit="1" customWidth="1"/>
    <col min="2" max="2" width="25.7109375" bestFit="1" customWidth="1"/>
    <col min="3" max="3" width="38.7109375" bestFit="1" customWidth="1"/>
    <col min="4" max="4" width="13.140625" bestFit="1" customWidth="1"/>
    <col min="5" max="34" width="5" bestFit="1" customWidth="1"/>
    <col min="35" max="35" width="7.42578125" bestFit="1" customWidth="1"/>
    <col min="36" max="36" width="9.42578125" bestFit="1" customWidth="1"/>
    <col min="37" max="39" width="8.42578125" bestFit="1" customWidth="1"/>
    <col min="40" max="40" width="9.42578125" bestFit="1" customWidth="1"/>
    <col min="41" max="44" width="8.42578125" bestFit="1" customWidth="1"/>
    <col min="45" max="63" width="11.42578125" bestFit="1" customWidth="1"/>
    <col min="64" max="64" width="12" customWidth="1"/>
    <col min="65" max="70" width="11.42578125" bestFit="1" customWidth="1"/>
  </cols>
  <sheetData>
    <row r="1" spans="1:70">
      <c r="A1" t="s">
        <v>0</v>
      </c>
      <c r="B1" t="s">
        <v>1</v>
      </c>
    </row>
    <row r="2" spans="1:70">
      <c r="A2" t="s">
        <v>2</v>
      </c>
      <c r="B2" s="1">
        <v>46303</v>
      </c>
    </row>
    <row r="4" spans="1:70">
      <c r="A4" t="s">
        <v>3</v>
      </c>
      <c r="B4" t="s">
        <v>4</v>
      </c>
      <c r="C4" t="s">
        <v>5</v>
      </c>
      <c r="D4" t="s">
        <v>6</v>
      </c>
      <c r="E4" t="s">
        <v>7</v>
      </c>
      <c r="F4" t="s">
        <v>8</v>
      </c>
      <c r="G4" t="s">
        <v>9</v>
      </c>
      <c r="H4" t="s">
        <v>10</v>
      </c>
      <c r="I4" t="s">
        <v>11</v>
      </c>
      <c r="J4" t="s">
        <v>12</v>
      </c>
      <c r="K4" t="s">
        <v>13</v>
      </c>
      <c r="L4" t="s">
        <v>14</v>
      </c>
      <c r="M4" t="s">
        <v>15</v>
      </c>
      <c r="N4" t="s">
        <v>16</v>
      </c>
      <c r="O4" t="s">
        <v>17</v>
      </c>
      <c r="P4" t="s">
        <v>18</v>
      </c>
      <c r="Q4" t="s">
        <v>19</v>
      </c>
      <c r="R4" t="s">
        <v>20</v>
      </c>
      <c r="S4" t="s">
        <v>21</v>
      </c>
      <c r="T4" t="s">
        <v>22</v>
      </c>
      <c r="U4" t="s">
        <v>23</v>
      </c>
      <c r="V4" t="s">
        <v>24</v>
      </c>
      <c r="W4" t="s">
        <v>25</v>
      </c>
      <c r="X4" t="s">
        <v>26</v>
      </c>
      <c r="Y4" t="s">
        <v>27</v>
      </c>
      <c r="Z4" t="s">
        <v>28</v>
      </c>
      <c r="AA4" t="s">
        <v>29</v>
      </c>
      <c r="AB4" t="s">
        <v>30</v>
      </c>
      <c r="AC4" t="s">
        <v>31</v>
      </c>
      <c r="AD4" t="s">
        <v>32</v>
      </c>
      <c r="AE4" t="s">
        <v>33</v>
      </c>
      <c r="AF4" t="s">
        <v>34</v>
      </c>
      <c r="AG4" t="s">
        <v>35</v>
      </c>
      <c r="AH4" t="s">
        <v>36</v>
      </c>
      <c r="AI4" t="s">
        <v>37</v>
      </c>
      <c r="AJ4" t="s">
        <v>38</v>
      </c>
      <c r="AK4" t="s">
        <v>39</v>
      </c>
      <c r="AL4" t="s">
        <v>40</v>
      </c>
      <c r="AM4" t="s">
        <v>41</v>
      </c>
      <c r="AN4" t="s">
        <v>42</v>
      </c>
      <c r="AO4" t="s">
        <v>43</v>
      </c>
      <c r="AP4" t="s">
        <v>44</v>
      </c>
      <c r="AQ4" t="s">
        <v>45</v>
      </c>
      <c r="AR4" t="s">
        <v>46</v>
      </c>
      <c r="AS4" t="s">
        <v>47</v>
      </c>
      <c r="AT4" t="s">
        <v>48</v>
      </c>
      <c r="AU4" t="s">
        <v>49</v>
      </c>
      <c r="AV4" t="s">
        <v>50</v>
      </c>
      <c r="AW4" t="s">
        <v>51</v>
      </c>
      <c r="AX4" t="s">
        <v>52</v>
      </c>
      <c r="AY4" t="s">
        <v>53</v>
      </c>
      <c r="AZ4" t="s">
        <v>54</v>
      </c>
      <c r="BA4" t="s">
        <v>55</v>
      </c>
      <c r="BB4" t="s">
        <v>56</v>
      </c>
      <c r="BC4" t="s">
        <v>57</v>
      </c>
      <c r="BD4" t="s">
        <v>58</v>
      </c>
      <c r="BE4" t="s">
        <v>59</v>
      </c>
      <c r="BF4" t="s">
        <v>60</v>
      </c>
      <c r="BG4" t="s">
        <v>61</v>
      </c>
      <c r="BH4" t="s">
        <v>62</v>
      </c>
      <c r="BI4" t="s">
        <v>63</v>
      </c>
      <c r="BJ4" t="s">
        <v>64</v>
      </c>
      <c r="BK4" t="s">
        <v>65</v>
      </c>
      <c r="BL4" t="s">
        <v>66</v>
      </c>
      <c r="BM4" t="s">
        <v>67</v>
      </c>
      <c r="BN4" t="s">
        <v>68</v>
      </c>
      <c r="BO4" t="s">
        <v>69</v>
      </c>
      <c r="BP4" t="s">
        <v>70</v>
      </c>
      <c r="BQ4" t="s">
        <v>71</v>
      </c>
      <c r="BR4" t="s">
        <v>72</v>
      </c>
    </row>
    <row r="5" spans="1:70">
      <c r="A5" t="s">
        <v>73</v>
      </c>
      <c r="B5" t="s">
        <v>74</v>
      </c>
      <c r="C5" t="s">
        <v>75</v>
      </c>
      <c r="D5" t="s">
        <v>76</v>
      </c>
      <c r="AI5">
        <v>0</v>
      </c>
      <c r="AO5">
        <v>2.77</v>
      </c>
      <c r="AR5">
        <v>4.51</v>
      </c>
      <c r="AS5">
        <v>15.4428229480349</v>
      </c>
      <c r="AT5">
        <v>17.100000000000001</v>
      </c>
      <c r="AU5">
        <v>18.8</v>
      </c>
      <c r="AV5">
        <v>20.8</v>
      </c>
      <c r="AW5">
        <v>23</v>
      </c>
      <c r="AX5">
        <v>25.4</v>
      </c>
      <c r="AY5">
        <v>28</v>
      </c>
      <c r="AZ5">
        <v>30.9</v>
      </c>
      <c r="BA5">
        <v>52</v>
      </c>
      <c r="BB5">
        <v>58</v>
      </c>
      <c r="BC5">
        <v>62</v>
      </c>
      <c r="BD5">
        <v>69</v>
      </c>
      <c r="BE5">
        <v>74</v>
      </c>
      <c r="BF5">
        <v>78.900000000000006</v>
      </c>
      <c r="BG5">
        <v>83.78</v>
      </c>
      <c r="BH5">
        <v>88.661226932496007</v>
      </c>
      <c r="BI5">
        <v>93.542453865048003</v>
      </c>
      <c r="BJ5">
        <v>97.17</v>
      </c>
    </row>
    <row r="6" spans="1:70">
      <c r="A6" t="s">
        <v>77</v>
      </c>
      <c r="B6" t="s">
        <v>78</v>
      </c>
      <c r="C6" t="s">
        <v>75</v>
      </c>
      <c r="D6" t="s">
        <v>76</v>
      </c>
      <c r="AX6">
        <v>1.8</v>
      </c>
      <c r="AY6">
        <v>1.9</v>
      </c>
      <c r="AZ6">
        <v>2.7</v>
      </c>
      <c r="BA6">
        <v>3</v>
      </c>
      <c r="BB6">
        <v>3.5</v>
      </c>
      <c r="BC6">
        <v>5.3</v>
      </c>
      <c r="BD6">
        <v>6.8</v>
      </c>
      <c r="BE6">
        <v>8.4</v>
      </c>
      <c r="BF6">
        <v>10</v>
      </c>
      <c r="BG6">
        <v>12.1</v>
      </c>
      <c r="BH6">
        <v>14.3</v>
      </c>
      <c r="BI6">
        <v>16.3</v>
      </c>
      <c r="BJ6">
        <v>17.3</v>
      </c>
      <c r="BK6">
        <v>19.600000000000001</v>
      </c>
      <c r="BL6">
        <v>21.6</v>
      </c>
      <c r="BM6">
        <v>23.5</v>
      </c>
      <c r="BN6">
        <v>25</v>
      </c>
      <c r="BO6">
        <v>26.8</v>
      </c>
      <c r="BP6">
        <v>27.8</v>
      </c>
      <c r="BQ6">
        <v>28.8</v>
      </c>
      <c r="BR6">
        <v>30.4</v>
      </c>
    </row>
    <row r="7" spans="1:70">
      <c r="A7" t="s">
        <v>79</v>
      </c>
      <c r="B7" t="s">
        <v>80</v>
      </c>
      <c r="C7" t="s">
        <v>75</v>
      </c>
      <c r="D7" t="s">
        <v>76</v>
      </c>
      <c r="AI7">
        <v>0</v>
      </c>
      <c r="AT7">
        <v>4.7225682421736803E-3</v>
      </c>
      <c r="AU7">
        <v>4.5613951702214604E-3</v>
      </c>
      <c r="AV7">
        <v>8.7891252855971297E-2</v>
      </c>
      <c r="AW7">
        <v>0.105809030021958</v>
      </c>
      <c r="AX7">
        <v>1.2241480837247101</v>
      </c>
      <c r="AY7">
        <v>2.10712364546412</v>
      </c>
      <c r="AZ7">
        <v>1.8999999759999999</v>
      </c>
      <c r="BA7">
        <v>1.84</v>
      </c>
      <c r="BB7">
        <v>3.55</v>
      </c>
      <c r="BC7">
        <v>4</v>
      </c>
      <c r="BD7">
        <v>5</v>
      </c>
      <c r="BE7">
        <v>5.4545001979999999</v>
      </c>
      <c r="BF7">
        <v>5.9000000950000002</v>
      </c>
      <c r="BG7">
        <v>7</v>
      </c>
      <c r="BH7">
        <v>8.2600002289999992</v>
      </c>
      <c r="BI7">
        <v>11</v>
      </c>
      <c r="BJ7">
        <v>13.5</v>
      </c>
      <c r="BK7">
        <v>16.799999240000002</v>
      </c>
      <c r="BL7">
        <v>17.600000380000001</v>
      </c>
      <c r="BM7">
        <v>17.048500059999999</v>
      </c>
      <c r="BN7">
        <v>16.514299390000001</v>
      </c>
      <c r="BO7">
        <v>15.86629963</v>
      </c>
      <c r="BP7">
        <v>15.92840004</v>
      </c>
      <c r="BQ7">
        <v>16.094999309999999</v>
      </c>
    </row>
    <row r="8" spans="1:70">
      <c r="A8" t="s">
        <v>81</v>
      </c>
      <c r="B8" t="s">
        <v>82</v>
      </c>
      <c r="C8" t="s">
        <v>75</v>
      </c>
      <c r="D8" t="s">
        <v>76</v>
      </c>
      <c r="AX8">
        <v>2.2999999999999998</v>
      </c>
      <c r="AY8">
        <v>3.4</v>
      </c>
      <c r="AZ8">
        <v>4.3</v>
      </c>
      <c r="BA8">
        <v>5</v>
      </c>
      <c r="BB8">
        <v>5.8</v>
      </c>
      <c r="BC8">
        <v>7.3</v>
      </c>
      <c r="BD8">
        <v>8.6999999999999993</v>
      </c>
      <c r="BE8">
        <v>10.3</v>
      </c>
      <c r="BF8">
        <v>12.6</v>
      </c>
      <c r="BG8">
        <v>15</v>
      </c>
      <c r="BH8">
        <v>18.600000000000001</v>
      </c>
      <c r="BI8">
        <v>20.9</v>
      </c>
      <c r="BJ8">
        <v>23.8</v>
      </c>
      <c r="BK8">
        <v>25.7</v>
      </c>
      <c r="BL8">
        <v>28.5</v>
      </c>
      <c r="BM8">
        <v>31.5</v>
      </c>
      <c r="BN8">
        <v>34.700000000000003</v>
      </c>
      <c r="BO8">
        <v>37.5</v>
      </c>
      <c r="BP8">
        <v>38.5</v>
      </c>
      <c r="BQ8">
        <v>40</v>
      </c>
      <c r="BR8">
        <v>42.4</v>
      </c>
    </row>
    <row r="9" spans="1:70">
      <c r="A9" t="s">
        <v>83</v>
      </c>
      <c r="B9" t="s">
        <v>84</v>
      </c>
      <c r="C9" t="s">
        <v>75</v>
      </c>
      <c r="D9" t="s">
        <v>76</v>
      </c>
      <c r="AI9">
        <v>0</v>
      </c>
      <c r="AO9">
        <v>7.76E-4</v>
      </c>
      <c r="AP9">
        <v>5.6700000000000006E-3</v>
      </c>
      <c r="AQ9">
        <v>1.8499999999999999E-2</v>
      </c>
      <c r="AR9">
        <v>7.2000000000000008E-2</v>
      </c>
      <c r="AS9">
        <v>0.105045562462262</v>
      </c>
      <c r="AT9">
        <v>0.13601386742986801</v>
      </c>
      <c r="AU9">
        <v>0.27037674559513403</v>
      </c>
      <c r="AV9">
        <v>0.370682065225727</v>
      </c>
      <c r="AW9">
        <v>0.46481461798590901</v>
      </c>
      <c r="AX9">
        <v>1.1433999539999999</v>
      </c>
      <c r="AY9">
        <v>1.5</v>
      </c>
      <c r="AZ9">
        <v>1.7000000479999999</v>
      </c>
      <c r="BA9">
        <v>1.8999999759999999</v>
      </c>
      <c r="BB9">
        <v>2.2999999519999998</v>
      </c>
      <c r="BC9">
        <v>2.7999999519999998</v>
      </c>
      <c r="BD9">
        <v>4.6999998090000004</v>
      </c>
      <c r="BE9">
        <v>7.6999998090000004</v>
      </c>
      <c r="BF9">
        <v>13</v>
      </c>
      <c r="BG9">
        <v>21.362340758410301</v>
      </c>
      <c r="BH9">
        <v>22</v>
      </c>
      <c r="BI9">
        <v>23.200000760000002</v>
      </c>
      <c r="BJ9">
        <v>26</v>
      </c>
      <c r="BK9">
        <v>29</v>
      </c>
      <c r="BL9">
        <v>32.129398350000002</v>
      </c>
      <c r="BM9">
        <v>33.320899959999998</v>
      </c>
      <c r="BN9">
        <v>34.556499479999999</v>
      </c>
      <c r="BO9">
        <v>35.838001249999998</v>
      </c>
      <c r="BP9">
        <v>37.885898589999996</v>
      </c>
      <c r="BQ9">
        <v>40.704799649999998</v>
      </c>
    </row>
    <row r="10" spans="1:70">
      <c r="A10" t="s">
        <v>85</v>
      </c>
      <c r="B10" t="s">
        <v>86</v>
      </c>
      <c r="C10" t="s">
        <v>75</v>
      </c>
      <c r="D10" t="s">
        <v>76</v>
      </c>
      <c r="AI10">
        <v>0</v>
      </c>
      <c r="AN10">
        <v>1.12E-2</v>
      </c>
      <c r="AO10">
        <v>3.2199999999999999E-2</v>
      </c>
      <c r="AP10">
        <v>4.8599999999999997E-2</v>
      </c>
      <c r="AQ10">
        <v>6.5000000000000002E-2</v>
      </c>
      <c r="AR10">
        <v>8.14E-2</v>
      </c>
      <c r="AS10">
        <v>0.114097346552109</v>
      </c>
      <c r="AT10">
        <v>0.325798377067964</v>
      </c>
      <c r="AU10">
        <v>0.39008127343332</v>
      </c>
      <c r="AV10">
        <v>0.97190041519585701</v>
      </c>
      <c r="AW10">
        <v>2.42038779776014</v>
      </c>
      <c r="AX10">
        <v>6.0438908640481399</v>
      </c>
      <c r="AY10">
        <v>9.6099996569999995</v>
      </c>
      <c r="AZ10">
        <v>15.03610039</v>
      </c>
      <c r="BA10">
        <v>23.86</v>
      </c>
      <c r="BB10">
        <v>41.2</v>
      </c>
      <c r="BC10">
        <v>45</v>
      </c>
      <c r="BD10">
        <v>47</v>
      </c>
      <c r="BE10">
        <v>49.400001529999997</v>
      </c>
      <c r="BF10">
        <v>51.799999239999998</v>
      </c>
      <c r="BG10">
        <v>54.299999239999998</v>
      </c>
      <c r="BH10">
        <v>56.900001529999997</v>
      </c>
      <c r="BI10">
        <v>59.599998470000003</v>
      </c>
      <c r="BJ10">
        <v>62.400001529999997</v>
      </c>
      <c r="BK10">
        <v>65.400001529999997</v>
      </c>
      <c r="BL10">
        <v>68.550391121800601</v>
      </c>
      <c r="BM10">
        <v>72.237677110000007</v>
      </c>
      <c r="BN10">
        <v>79.323717520000002</v>
      </c>
      <c r="BO10">
        <v>82.613675439999994</v>
      </c>
      <c r="BP10">
        <v>83.135591610000006</v>
      </c>
      <c r="BQ10">
        <v>85.863899230000001</v>
      </c>
    </row>
    <row r="11" spans="1:70">
      <c r="A11" t="s">
        <v>87</v>
      </c>
      <c r="B11" t="s">
        <v>88</v>
      </c>
      <c r="C11" t="s">
        <v>75</v>
      </c>
      <c r="D11" t="s">
        <v>76</v>
      </c>
      <c r="AI11">
        <v>0</v>
      </c>
      <c r="AO11">
        <v>1.53</v>
      </c>
      <c r="AP11">
        <v>3.05</v>
      </c>
      <c r="AQ11">
        <v>6.89</v>
      </c>
      <c r="AR11">
        <v>7.64</v>
      </c>
      <c r="AS11">
        <v>10.53883560922</v>
      </c>
      <c r="AU11">
        <v>11.260468717010299</v>
      </c>
      <c r="AV11">
        <v>13.546412876439</v>
      </c>
      <c r="AW11">
        <v>26.8379543894637</v>
      </c>
      <c r="AX11">
        <v>37.605766217486703</v>
      </c>
      <c r="AY11">
        <v>48.9368469989479</v>
      </c>
      <c r="AZ11">
        <v>70.87</v>
      </c>
      <c r="BA11">
        <v>70.040000000000006</v>
      </c>
      <c r="BB11">
        <v>78.53</v>
      </c>
      <c r="BC11">
        <v>81</v>
      </c>
      <c r="BD11">
        <v>81</v>
      </c>
      <c r="BE11">
        <v>82.699996949999999</v>
      </c>
      <c r="BF11">
        <v>84.400001529999997</v>
      </c>
      <c r="BG11">
        <v>86.099998470000003</v>
      </c>
      <c r="BH11">
        <v>87.900001529999997</v>
      </c>
      <c r="BI11">
        <v>89.699996949999999</v>
      </c>
      <c r="BJ11">
        <v>91.567467027392595</v>
      </c>
      <c r="BK11">
        <v>93.5</v>
      </c>
      <c r="BL11">
        <v>90.718696589999993</v>
      </c>
      <c r="BM11">
        <v>93.205703740000004</v>
      </c>
      <c r="BN11">
        <v>93.897499080000003</v>
      </c>
      <c r="BO11">
        <v>94.05169678</v>
      </c>
      <c r="BP11">
        <v>94.214996339999999</v>
      </c>
      <c r="BQ11">
        <v>94.397598270000003</v>
      </c>
    </row>
    <row r="12" spans="1:70">
      <c r="A12" t="s">
        <v>89</v>
      </c>
      <c r="B12" t="s">
        <v>90</v>
      </c>
      <c r="C12" t="s">
        <v>75</v>
      </c>
      <c r="D12" t="s">
        <v>76</v>
      </c>
    </row>
    <row r="13" spans="1:70">
      <c r="A13" t="s">
        <v>91</v>
      </c>
      <c r="B13" t="s">
        <v>92</v>
      </c>
      <c r="C13" t="s">
        <v>75</v>
      </c>
      <c r="D13" t="s">
        <v>76</v>
      </c>
      <c r="AI13">
        <v>0</v>
      </c>
      <c r="AN13">
        <v>0.10300000000000001</v>
      </c>
      <c r="AO13">
        <v>0.375</v>
      </c>
      <c r="AP13">
        <v>3.3</v>
      </c>
      <c r="AQ13">
        <v>6.91</v>
      </c>
      <c r="AR13">
        <v>14.9</v>
      </c>
      <c r="AS13">
        <v>23.6253008751553</v>
      </c>
      <c r="AT13">
        <v>26.271754201000601</v>
      </c>
      <c r="AU13">
        <v>28.316485311043898</v>
      </c>
      <c r="AV13">
        <v>29.4779534120864</v>
      </c>
      <c r="AW13">
        <v>30.1312961695367</v>
      </c>
      <c r="AX13">
        <v>40</v>
      </c>
      <c r="AY13">
        <v>52</v>
      </c>
      <c r="AZ13">
        <v>61</v>
      </c>
      <c r="BA13">
        <v>63</v>
      </c>
      <c r="BB13">
        <v>64</v>
      </c>
      <c r="BC13">
        <v>68</v>
      </c>
      <c r="BD13">
        <v>78</v>
      </c>
      <c r="BE13">
        <v>84.999991504949193</v>
      </c>
      <c r="BF13">
        <v>88</v>
      </c>
      <c r="BG13">
        <v>90.400010712193904</v>
      </c>
      <c r="BH13">
        <v>90.5</v>
      </c>
      <c r="BI13">
        <v>90.600007318048299</v>
      </c>
      <c r="BJ13">
        <v>94.819922538344599</v>
      </c>
      <c r="BK13">
        <v>98.450001781719394</v>
      </c>
      <c r="BL13">
        <v>99.149997956124295</v>
      </c>
      <c r="BM13">
        <v>100</v>
      </c>
      <c r="BN13">
        <v>100</v>
      </c>
      <c r="BO13">
        <v>100</v>
      </c>
      <c r="BP13">
        <v>100</v>
      </c>
      <c r="BQ13">
        <v>100</v>
      </c>
    </row>
    <row r="14" spans="1:70">
      <c r="A14" t="s">
        <v>93</v>
      </c>
      <c r="B14" t="s">
        <v>94</v>
      </c>
      <c r="C14" t="s">
        <v>75</v>
      </c>
      <c r="D14" t="s">
        <v>76</v>
      </c>
      <c r="AI14">
        <v>0</v>
      </c>
      <c r="AK14">
        <v>2.99E-3</v>
      </c>
      <c r="AL14">
        <v>2.9500000000000002E-2</v>
      </c>
      <c r="AM14">
        <v>4.3700000000000003E-2</v>
      </c>
      <c r="AN14">
        <v>8.6300000000000002E-2</v>
      </c>
      <c r="AO14">
        <v>0.14200000000000002</v>
      </c>
      <c r="AP14">
        <v>0.28000000000000003</v>
      </c>
      <c r="AQ14">
        <v>0.83099999999999996</v>
      </c>
      <c r="AR14">
        <v>3.28</v>
      </c>
      <c r="AS14">
        <v>7.0386830862177998</v>
      </c>
      <c r="AT14">
        <v>9.7808072853240695</v>
      </c>
      <c r="AU14">
        <v>10.882124377532501</v>
      </c>
      <c r="AV14">
        <v>11.9136965509954</v>
      </c>
      <c r="AW14">
        <v>16.036684105492299</v>
      </c>
      <c r="AX14">
        <v>17.720583369606501</v>
      </c>
      <c r="AY14">
        <v>20.9272021035896</v>
      </c>
      <c r="AZ14">
        <v>25.9466329403819</v>
      </c>
      <c r="BA14">
        <v>28.112623479990699</v>
      </c>
      <c r="BB14">
        <v>34</v>
      </c>
      <c r="BC14">
        <v>45</v>
      </c>
      <c r="BD14">
        <v>51</v>
      </c>
      <c r="BE14">
        <v>55.799999239999998</v>
      </c>
      <c r="BF14">
        <v>59.900001529999997</v>
      </c>
      <c r="BG14">
        <v>64.699996949999999</v>
      </c>
      <c r="BH14">
        <v>68.043064108812203</v>
      </c>
      <c r="BI14">
        <v>70.968980820602397</v>
      </c>
      <c r="BJ14">
        <v>74.294906865795696</v>
      </c>
      <c r="BK14">
        <v>77.7</v>
      </c>
      <c r="BL14">
        <v>79.9469520347551</v>
      </c>
      <c r="BM14">
        <v>85.514386459999997</v>
      </c>
      <c r="BN14">
        <v>87.150706830000004</v>
      </c>
      <c r="BO14">
        <v>88.375356909999994</v>
      </c>
      <c r="BP14">
        <v>89.228971659999999</v>
      </c>
      <c r="BQ14">
        <v>89.667152279999996</v>
      </c>
    </row>
    <row r="15" spans="1:70">
      <c r="A15" t="s">
        <v>95</v>
      </c>
      <c r="B15" t="s">
        <v>96</v>
      </c>
      <c r="C15" t="s">
        <v>75</v>
      </c>
      <c r="D15" t="s">
        <v>76</v>
      </c>
      <c r="AI15">
        <v>0</v>
      </c>
      <c r="AM15">
        <v>9.1199999999999996E-3</v>
      </c>
      <c r="AN15">
        <v>5.2700000000000004E-2</v>
      </c>
      <c r="AO15">
        <v>9.4600000000000004E-2</v>
      </c>
      <c r="AP15">
        <v>0.11199999999999999</v>
      </c>
      <c r="AQ15">
        <v>0.129</v>
      </c>
      <c r="AR15">
        <v>0.97099999999999997</v>
      </c>
      <c r="AS15">
        <v>1.30047002237784</v>
      </c>
      <c r="AT15">
        <v>1.63109466677715</v>
      </c>
      <c r="AU15">
        <v>1.9604050458211999</v>
      </c>
      <c r="AV15">
        <v>4.57521722477781</v>
      </c>
      <c r="AW15">
        <v>4.8990085713053997</v>
      </c>
      <c r="AX15">
        <v>5.2529997829999999</v>
      </c>
      <c r="AY15">
        <v>5.6318001750000004</v>
      </c>
      <c r="AZ15">
        <v>6.0212998390000001</v>
      </c>
      <c r="BA15">
        <v>6.21</v>
      </c>
      <c r="BB15">
        <v>15.30000019</v>
      </c>
      <c r="BC15">
        <v>25</v>
      </c>
      <c r="BD15">
        <v>32</v>
      </c>
      <c r="BE15">
        <v>37.5</v>
      </c>
      <c r="BF15">
        <v>41.9</v>
      </c>
      <c r="BG15">
        <v>54.6228058583362</v>
      </c>
      <c r="BH15">
        <v>59.100833767493697</v>
      </c>
      <c r="BI15">
        <v>64.346029765374197</v>
      </c>
      <c r="BJ15">
        <v>64.744884325072604</v>
      </c>
      <c r="BK15">
        <v>68.245052261027098</v>
      </c>
      <c r="BL15">
        <v>66.543949686615903</v>
      </c>
      <c r="BM15">
        <v>76.507700549999996</v>
      </c>
      <c r="BN15">
        <v>78.612257580000005</v>
      </c>
      <c r="BO15">
        <v>77.027674649999994</v>
      </c>
      <c r="BP15">
        <v>79.996630359999997</v>
      </c>
      <c r="BQ15">
        <v>81.339302059999994</v>
      </c>
    </row>
    <row r="16" spans="1:70">
      <c r="A16" t="s">
        <v>97</v>
      </c>
      <c r="B16" t="s">
        <v>98</v>
      </c>
      <c r="C16" t="s">
        <v>75</v>
      </c>
      <c r="D16" t="s">
        <v>76</v>
      </c>
      <c r="AI16">
        <v>0</v>
      </c>
    </row>
    <row r="17" spans="1:70">
      <c r="A17" t="s">
        <v>99</v>
      </c>
      <c r="B17" t="s">
        <v>100</v>
      </c>
      <c r="C17" t="s">
        <v>75</v>
      </c>
      <c r="D17" t="s">
        <v>76</v>
      </c>
      <c r="AI17">
        <v>0</v>
      </c>
      <c r="AN17">
        <v>2.2000000000000002</v>
      </c>
      <c r="AO17">
        <v>2.86</v>
      </c>
      <c r="AP17">
        <v>3.48</v>
      </c>
      <c r="AQ17">
        <v>4.07</v>
      </c>
      <c r="AR17">
        <v>5.3</v>
      </c>
      <c r="AS17">
        <v>6.4822257370290703</v>
      </c>
      <c r="AT17">
        <v>8.8992855145058307</v>
      </c>
      <c r="AU17">
        <v>12.5</v>
      </c>
      <c r="AV17">
        <v>17.228648781688399</v>
      </c>
      <c r="AW17">
        <v>24.2665437161785</v>
      </c>
      <c r="AX17">
        <v>27</v>
      </c>
      <c r="AY17">
        <v>30</v>
      </c>
      <c r="AZ17">
        <v>34</v>
      </c>
      <c r="BA17">
        <v>38</v>
      </c>
      <c r="BB17">
        <v>42</v>
      </c>
      <c r="BC17">
        <v>47</v>
      </c>
      <c r="BD17">
        <v>52</v>
      </c>
      <c r="BE17">
        <v>58</v>
      </c>
      <c r="BF17">
        <v>63.400001529999997</v>
      </c>
      <c r="BG17">
        <v>67.77999878</v>
      </c>
      <c r="BH17">
        <v>70</v>
      </c>
      <c r="BI17">
        <v>70.271598819999994</v>
      </c>
      <c r="BJ17">
        <v>70.544197080000004</v>
      </c>
      <c r="BK17">
        <v>70.817901610000007</v>
      </c>
      <c r="BL17">
        <v>71.092597960000006</v>
      </c>
      <c r="BM17">
        <v>71.368400570000006</v>
      </c>
      <c r="BN17">
        <v>71.64530182</v>
      </c>
      <c r="BO17">
        <v>71.923301699999996</v>
      </c>
      <c r="BP17">
        <v>72.124099729999998</v>
      </c>
      <c r="BQ17">
        <v>72.730400090000003</v>
      </c>
    </row>
    <row r="18" spans="1:70">
      <c r="A18" t="s">
        <v>101</v>
      </c>
      <c r="B18" t="s">
        <v>102</v>
      </c>
      <c r="C18" t="s">
        <v>75</v>
      </c>
      <c r="D18" t="s">
        <v>76</v>
      </c>
      <c r="AI18">
        <v>0.58499999999999996</v>
      </c>
      <c r="AJ18">
        <v>1.1000000000000001</v>
      </c>
      <c r="AK18">
        <v>1.77</v>
      </c>
      <c r="AL18">
        <v>1.97</v>
      </c>
      <c r="AM18">
        <v>2.23</v>
      </c>
      <c r="AN18">
        <v>2.76</v>
      </c>
      <c r="AO18">
        <v>3.28</v>
      </c>
      <c r="AP18">
        <v>16.399999999999999</v>
      </c>
      <c r="AQ18">
        <v>30.8</v>
      </c>
      <c r="AR18">
        <v>40.799999999999997</v>
      </c>
      <c r="AS18">
        <v>46.756115611673799</v>
      </c>
      <c r="AT18">
        <v>52.689266431039499</v>
      </c>
      <c r="AX18">
        <v>63</v>
      </c>
      <c r="AY18">
        <v>66</v>
      </c>
      <c r="AZ18">
        <v>69.45</v>
      </c>
      <c r="BA18">
        <v>71.67</v>
      </c>
      <c r="BB18">
        <v>74.25</v>
      </c>
      <c r="BC18">
        <v>76</v>
      </c>
      <c r="BD18">
        <v>79.487697713902904</v>
      </c>
      <c r="BE18">
        <v>79</v>
      </c>
      <c r="BF18">
        <v>83.453497166999995</v>
      </c>
      <c r="BG18">
        <v>84</v>
      </c>
      <c r="BH18">
        <v>84.560514909140807</v>
      </c>
      <c r="BI18">
        <v>86.540000919999997</v>
      </c>
      <c r="BJ18">
        <v>86.545048847676796</v>
      </c>
      <c r="BK18">
        <v>90.008201600000007</v>
      </c>
      <c r="BL18">
        <v>93.609901429999994</v>
      </c>
      <c r="BM18">
        <v>94.693496699999997</v>
      </c>
      <c r="BN18">
        <v>96.972198489999997</v>
      </c>
      <c r="BO18">
        <v>96.11940002</v>
      </c>
      <c r="BP18">
        <v>96.116096499999998</v>
      </c>
      <c r="BQ18">
        <v>96.131401060000002</v>
      </c>
    </row>
    <row r="19" spans="1:70">
      <c r="A19" t="s">
        <v>103</v>
      </c>
      <c r="B19" t="s">
        <v>104</v>
      </c>
      <c r="C19" t="s">
        <v>75</v>
      </c>
      <c r="D19" t="s">
        <v>76</v>
      </c>
      <c r="AI19">
        <v>0.13</v>
      </c>
      <c r="AJ19">
        <v>0.25900000000000001</v>
      </c>
      <c r="AK19">
        <v>0.64300000000000002</v>
      </c>
      <c r="AL19">
        <v>0.76500000000000001</v>
      </c>
      <c r="AM19">
        <v>1.39</v>
      </c>
      <c r="AN19">
        <v>1.89</v>
      </c>
      <c r="AO19">
        <v>6.91</v>
      </c>
      <c r="AP19">
        <v>9.5299999999999994</v>
      </c>
      <c r="AQ19">
        <v>15.4</v>
      </c>
      <c r="AR19">
        <v>23</v>
      </c>
      <c r="AS19">
        <v>33.730132951691502</v>
      </c>
      <c r="AT19">
        <v>39.185450181111399</v>
      </c>
      <c r="AU19">
        <v>36.56</v>
      </c>
      <c r="AV19">
        <v>42.7</v>
      </c>
      <c r="AW19">
        <v>54.28</v>
      </c>
      <c r="AX19">
        <v>58</v>
      </c>
      <c r="AY19">
        <v>63.6</v>
      </c>
      <c r="AZ19">
        <v>69.37</v>
      </c>
      <c r="BA19">
        <v>72.87</v>
      </c>
      <c r="BB19">
        <v>73.45</v>
      </c>
      <c r="BC19">
        <v>75.17</v>
      </c>
      <c r="BD19">
        <v>78.739993098688799</v>
      </c>
      <c r="BE19">
        <v>80.029993916990307</v>
      </c>
      <c r="BF19">
        <v>80.618799999999993</v>
      </c>
      <c r="BG19">
        <v>80.995824957476401</v>
      </c>
      <c r="BH19">
        <v>83.940141931502595</v>
      </c>
      <c r="BI19">
        <v>84.323742571165297</v>
      </c>
      <c r="BJ19">
        <v>87.935586585606202</v>
      </c>
      <c r="BK19">
        <v>87.479137226255602</v>
      </c>
      <c r="BL19">
        <v>87.752204787006903</v>
      </c>
      <c r="BM19">
        <v>87.529428129999999</v>
      </c>
      <c r="BN19">
        <v>92.529151040000002</v>
      </c>
      <c r="BO19">
        <v>93.614091389999999</v>
      </c>
      <c r="BP19">
        <v>95.334671169999993</v>
      </c>
      <c r="BQ19">
        <v>94.919748769999998</v>
      </c>
      <c r="BR19">
        <v>91.925733730000005</v>
      </c>
    </row>
    <row r="20" spans="1:70">
      <c r="A20" t="s">
        <v>105</v>
      </c>
      <c r="B20" t="s">
        <v>106</v>
      </c>
      <c r="C20" t="s">
        <v>75</v>
      </c>
      <c r="D20" t="s">
        <v>76</v>
      </c>
      <c r="AI20">
        <v>0</v>
      </c>
      <c r="AM20">
        <v>1.4300000000000001E-3</v>
      </c>
      <c r="AN20">
        <v>2.0599999999999998E-3</v>
      </c>
      <c r="AO20">
        <v>6.3499999999999997E-3</v>
      </c>
      <c r="AP20">
        <v>2.52E-2</v>
      </c>
      <c r="AQ20">
        <v>3.7499999999999999E-2</v>
      </c>
      <c r="AR20">
        <v>9.920000000000001E-2</v>
      </c>
      <c r="AS20">
        <v>0.14775757562325101</v>
      </c>
      <c r="AT20">
        <v>0.30556463761561797</v>
      </c>
      <c r="AU20">
        <v>4.9997136781295701</v>
      </c>
      <c r="AX20">
        <v>8.0304002759999999</v>
      </c>
      <c r="AY20">
        <v>11.992199899999999</v>
      </c>
      <c r="AZ20">
        <v>14.539999959999999</v>
      </c>
      <c r="BA20">
        <v>17.079999999999998</v>
      </c>
      <c r="BB20">
        <v>27.4</v>
      </c>
      <c r="BC20">
        <v>46</v>
      </c>
      <c r="BD20">
        <v>50</v>
      </c>
      <c r="BE20">
        <v>54.200000760000002</v>
      </c>
      <c r="BF20">
        <v>73.000001372</v>
      </c>
      <c r="BG20">
        <v>75.000015636339597</v>
      </c>
      <c r="BH20">
        <v>77</v>
      </c>
      <c r="BI20">
        <v>78.2</v>
      </c>
      <c r="BJ20">
        <v>79</v>
      </c>
      <c r="BK20">
        <v>79.799995488789605</v>
      </c>
      <c r="BL20">
        <v>81.099999065154705</v>
      </c>
      <c r="BM20">
        <v>84.599995730000003</v>
      </c>
      <c r="BN20">
        <v>85.999989540000001</v>
      </c>
      <c r="BO20">
        <v>88</v>
      </c>
      <c r="BP20">
        <v>89</v>
      </c>
      <c r="BQ20">
        <v>90.439796450000003</v>
      </c>
      <c r="BR20">
        <v>90.800001809999998</v>
      </c>
    </row>
    <row r="21" spans="1:70">
      <c r="A21" t="s">
        <v>107</v>
      </c>
      <c r="B21" t="s">
        <v>108</v>
      </c>
      <c r="C21" t="s">
        <v>75</v>
      </c>
      <c r="D21" t="s">
        <v>76</v>
      </c>
      <c r="AI21">
        <v>0</v>
      </c>
      <c r="AJ21">
        <v>0</v>
      </c>
      <c r="AK21">
        <v>0</v>
      </c>
      <c r="AL21">
        <v>0</v>
      </c>
      <c r="AM21">
        <v>0</v>
      </c>
      <c r="AN21">
        <v>0</v>
      </c>
      <c r="AO21">
        <v>8.0399999999999992E-4</v>
      </c>
      <c r="AP21">
        <v>7.980000000000001E-3</v>
      </c>
      <c r="AQ21">
        <v>1.5799999999999998E-2</v>
      </c>
      <c r="AR21">
        <v>3.9199999999999999E-2</v>
      </c>
      <c r="AS21">
        <v>7.7248447383456001E-2</v>
      </c>
      <c r="AT21">
        <v>0.106001245363203</v>
      </c>
      <c r="AU21">
        <v>0.118228412267794</v>
      </c>
      <c r="AV21">
        <v>0.201273196735924</v>
      </c>
      <c r="AW21">
        <v>0.349060461879596</v>
      </c>
      <c r="AX21">
        <v>0.54210001200000002</v>
      </c>
      <c r="AY21">
        <v>0.65759998600000003</v>
      </c>
      <c r="AZ21">
        <v>0.7</v>
      </c>
      <c r="BA21">
        <v>0.81</v>
      </c>
      <c r="BB21">
        <v>0.89999997600000003</v>
      </c>
      <c r="BC21">
        <v>1</v>
      </c>
      <c r="BD21">
        <v>1.1100000139999999</v>
      </c>
      <c r="BE21">
        <v>1.2200000289999999</v>
      </c>
      <c r="BF21">
        <v>1.2642181111999999</v>
      </c>
      <c r="BG21">
        <v>1.0423921264399401</v>
      </c>
      <c r="BH21">
        <v>2</v>
      </c>
      <c r="BI21">
        <v>2.2000000480000002</v>
      </c>
      <c r="BJ21">
        <v>2.6607485347534001</v>
      </c>
      <c r="BK21">
        <v>4.0194997790000002</v>
      </c>
      <c r="BL21">
        <v>6.0721998209999999</v>
      </c>
      <c r="BM21">
        <v>6.4300999640000001</v>
      </c>
      <c r="BN21">
        <v>6.7779998780000001</v>
      </c>
      <c r="BO21">
        <v>7.1448001860000003</v>
      </c>
      <c r="BP21">
        <v>7.172299862</v>
      </c>
      <c r="BQ21">
        <v>8.5959997179999998</v>
      </c>
    </row>
    <row r="22" spans="1:70">
      <c r="A22" t="s">
        <v>109</v>
      </c>
      <c r="B22" t="s">
        <v>110</v>
      </c>
      <c r="C22" t="s">
        <v>75</v>
      </c>
      <c r="D22" t="s">
        <v>76</v>
      </c>
      <c r="AI22">
        <v>1.01E-3</v>
      </c>
      <c r="AJ22">
        <v>2.01E-2</v>
      </c>
      <c r="AK22">
        <v>0.1</v>
      </c>
      <c r="AL22">
        <v>0.19900000000000001</v>
      </c>
      <c r="AM22">
        <v>0.69599999999999995</v>
      </c>
      <c r="AN22">
        <v>0.99199999999999999</v>
      </c>
      <c r="AO22">
        <v>2.97</v>
      </c>
      <c r="AP22">
        <v>4.9400000000000004</v>
      </c>
      <c r="AQ22">
        <v>7.89</v>
      </c>
      <c r="AR22">
        <v>13.8</v>
      </c>
      <c r="AS22">
        <v>29.4316916924341</v>
      </c>
      <c r="AT22">
        <v>31.288395505656599</v>
      </c>
      <c r="AU22">
        <v>46.33</v>
      </c>
      <c r="AV22">
        <v>49.97</v>
      </c>
      <c r="AW22">
        <v>53.86</v>
      </c>
      <c r="AX22">
        <v>55.819999690000003</v>
      </c>
      <c r="AY22">
        <v>61.981870022202301</v>
      </c>
      <c r="AZ22">
        <v>66.760420243313504</v>
      </c>
      <c r="BA22">
        <v>68.857322142513098</v>
      </c>
      <c r="BB22">
        <v>74.544145552733596</v>
      </c>
      <c r="BC22">
        <v>77.639785512694601</v>
      </c>
      <c r="BD22">
        <v>81.609995995595199</v>
      </c>
      <c r="BE22">
        <v>80.719990548204194</v>
      </c>
      <c r="BF22">
        <v>82.170199999999994</v>
      </c>
      <c r="BG22">
        <v>85.001237953992501</v>
      </c>
      <c r="BH22">
        <v>85.052941750870104</v>
      </c>
      <c r="BI22">
        <v>86.516476664445705</v>
      </c>
      <c r="BJ22">
        <v>87.679680817559799</v>
      </c>
      <c r="BK22">
        <v>88.647342995169097</v>
      </c>
      <c r="BL22">
        <v>90.275428012141006</v>
      </c>
      <c r="BM22">
        <v>91.52641629</v>
      </c>
      <c r="BN22">
        <v>92.788676179999996</v>
      </c>
      <c r="BO22">
        <v>94.007830709999993</v>
      </c>
      <c r="BP22">
        <v>94.626250740000003</v>
      </c>
      <c r="BQ22">
        <v>95.775791440000006</v>
      </c>
    </row>
    <row r="23" spans="1:70">
      <c r="A23" t="s">
        <v>111</v>
      </c>
      <c r="B23" t="s">
        <v>112</v>
      </c>
      <c r="C23" t="s">
        <v>75</v>
      </c>
      <c r="D23" t="s">
        <v>76</v>
      </c>
      <c r="AI23">
        <v>0</v>
      </c>
      <c r="AO23">
        <v>1.6900000000000001E-3</v>
      </c>
      <c r="AP23">
        <v>2.46E-2</v>
      </c>
      <c r="AQ23">
        <v>4.7899999999999998E-2</v>
      </c>
      <c r="AR23">
        <v>0.155</v>
      </c>
      <c r="AS23">
        <v>0.22524785147336901</v>
      </c>
      <c r="AT23">
        <v>0.36341789001608199</v>
      </c>
      <c r="AU23">
        <v>0.70294559510389998</v>
      </c>
      <c r="AV23">
        <v>0.95132711491569499</v>
      </c>
      <c r="AW23">
        <v>1.1825409651899399</v>
      </c>
      <c r="AX23">
        <v>1.271000028</v>
      </c>
      <c r="AY23">
        <v>1.5378999710000001</v>
      </c>
      <c r="AZ23">
        <v>1.79</v>
      </c>
      <c r="BA23">
        <v>1.85</v>
      </c>
      <c r="BB23">
        <v>2.2400000000000002</v>
      </c>
      <c r="BC23">
        <v>3.13</v>
      </c>
      <c r="BD23">
        <v>4.14832306562512</v>
      </c>
      <c r="BE23">
        <v>4.5</v>
      </c>
      <c r="BF23">
        <v>4.9000000950000002</v>
      </c>
      <c r="BG23">
        <v>6</v>
      </c>
      <c r="BH23">
        <v>11.255000109999999</v>
      </c>
      <c r="BI23">
        <v>14.5</v>
      </c>
      <c r="BJ23">
        <v>18.7</v>
      </c>
      <c r="BK23">
        <v>19</v>
      </c>
      <c r="BL23">
        <v>20.500999449999998</v>
      </c>
      <c r="BM23">
        <v>22.12059975</v>
      </c>
      <c r="BN23">
        <v>28.204700469999999</v>
      </c>
      <c r="BO23">
        <v>30.53730011</v>
      </c>
      <c r="BP23">
        <v>32.394001009999997</v>
      </c>
      <c r="BQ23">
        <v>33.983798980000003</v>
      </c>
    </row>
    <row r="24" spans="1:70">
      <c r="A24" t="s">
        <v>113</v>
      </c>
      <c r="B24" t="s">
        <v>114</v>
      </c>
      <c r="C24" t="s">
        <v>75</v>
      </c>
      <c r="D24" t="s">
        <v>76</v>
      </c>
      <c r="AI24">
        <v>0</v>
      </c>
      <c r="AO24">
        <v>9.6099999999999994E-4</v>
      </c>
      <c r="AP24">
        <v>1.8699999999999998E-2</v>
      </c>
      <c r="AQ24">
        <v>4.5399999999999996E-2</v>
      </c>
      <c r="AR24">
        <v>6.1799999999999994E-2</v>
      </c>
      <c r="AS24">
        <v>7.7080168942601404E-2</v>
      </c>
      <c r="AT24">
        <v>0.15773246465360699</v>
      </c>
      <c r="AU24">
        <v>0.20099259792500099</v>
      </c>
      <c r="AV24">
        <v>0.37344030323352601</v>
      </c>
      <c r="AW24">
        <v>0.40029528549217802</v>
      </c>
      <c r="AX24">
        <v>0.46990001199999998</v>
      </c>
      <c r="AY24">
        <v>0.63270002599999997</v>
      </c>
      <c r="AZ24">
        <v>0.75</v>
      </c>
      <c r="BA24">
        <v>0.920000017</v>
      </c>
      <c r="BB24">
        <v>1.1299999949999999</v>
      </c>
      <c r="BC24">
        <v>2.4000000950000002</v>
      </c>
      <c r="BD24">
        <v>3</v>
      </c>
      <c r="BE24">
        <v>3.7249999050000002</v>
      </c>
      <c r="BF24">
        <v>5</v>
      </c>
      <c r="BG24">
        <v>6</v>
      </c>
      <c r="BH24">
        <v>6.5457000729999999</v>
      </c>
      <c r="BI24">
        <v>7.1409997939999998</v>
      </c>
      <c r="BJ24">
        <v>7.7904000279999996</v>
      </c>
      <c r="BK24">
        <v>8.4989004139999995</v>
      </c>
      <c r="BL24">
        <v>9.2718060095318595</v>
      </c>
      <c r="BM24">
        <v>12.973199839999999</v>
      </c>
      <c r="BN24">
        <v>18.152200700000002</v>
      </c>
      <c r="BO24">
        <v>25.3987999</v>
      </c>
      <c r="BP24">
        <v>25.361200329999999</v>
      </c>
      <c r="BQ24">
        <v>28.25270081</v>
      </c>
    </row>
    <row r="25" spans="1:70">
      <c r="A25" t="s">
        <v>115</v>
      </c>
      <c r="B25" t="s">
        <v>116</v>
      </c>
      <c r="C25" t="s">
        <v>75</v>
      </c>
      <c r="D25" t="s">
        <v>76</v>
      </c>
      <c r="AI25">
        <v>0</v>
      </c>
      <c r="AP25">
        <v>7.5100000000000004E-4</v>
      </c>
      <c r="AQ25">
        <v>3.6800000000000001E-3</v>
      </c>
      <c r="AR25">
        <v>3.6200000000000003E-2</v>
      </c>
      <c r="AS25">
        <v>7.1039423050768297E-2</v>
      </c>
      <c r="AT25">
        <v>0.12980797394751201</v>
      </c>
      <c r="AU25">
        <v>0.13992028850905</v>
      </c>
      <c r="AV25">
        <v>0.163877665498048</v>
      </c>
      <c r="AW25">
        <v>0.199036333744363</v>
      </c>
      <c r="AX25">
        <v>0.24160000700000001</v>
      </c>
      <c r="AY25">
        <v>1</v>
      </c>
      <c r="AZ25">
        <v>1.7999999520000001</v>
      </c>
      <c r="BA25">
        <v>2.5</v>
      </c>
      <c r="BB25">
        <v>3.0999999050000002</v>
      </c>
      <c r="BC25">
        <v>3.7000000480000002</v>
      </c>
      <c r="BD25">
        <v>4.5</v>
      </c>
      <c r="BE25">
        <v>5</v>
      </c>
      <c r="BF25">
        <v>6.63</v>
      </c>
      <c r="BG25">
        <v>9.0529003140000004</v>
      </c>
      <c r="BH25">
        <v>12.368800159999999</v>
      </c>
      <c r="BI25">
        <v>16.89909935</v>
      </c>
      <c r="BJ25">
        <v>21.5</v>
      </c>
      <c r="BK25">
        <v>25.565099719999999</v>
      </c>
      <c r="BL25">
        <v>30.383100509999998</v>
      </c>
      <c r="BM25">
        <v>36.109100339999998</v>
      </c>
      <c r="BN25">
        <v>38.917444660000001</v>
      </c>
      <c r="BO25">
        <v>41.616500850000001</v>
      </c>
      <c r="BP25">
        <v>44.502741950000001</v>
      </c>
      <c r="BQ25">
        <v>53.421713160000003</v>
      </c>
    </row>
    <row r="26" spans="1:70">
      <c r="A26" t="s">
        <v>117</v>
      </c>
      <c r="B26" t="s">
        <v>118</v>
      </c>
      <c r="C26" t="s">
        <v>75</v>
      </c>
      <c r="D26" t="s">
        <v>76</v>
      </c>
      <c r="AI26">
        <v>0</v>
      </c>
      <c r="AL26">
        <v>2.3400000000000001E-3</v>
      </c>
      <c r="AM26">
        <v>1.95E-2</v>
      </c>
      <c r="AN26">
        <v>0.12</v>
      </c>
      <c r="AO26">
        <v>0.72499999999999998</v>
      </c>
      <c r="AP26">
        <v>1.22</v>
      </c>
      <c r="AQ26">
        <v>1.84</v>
      </c>
      <c r="AR26">
        <v>2.91</v>
      </c>
      <c r="AS26">
        <v>5.3709234690869598</v>
      </c>
      <c r="AT26">
        <v>7.6122977487982002</v>
      </c>
      <c r="AU26">
        <v>9.08</v>
      </c>
      <c r="AV26">
        <v>12.04</v>
      </c>
      <c r="AW26">
        <v>18.13</v>
      </c>
      <c r="AX26">
        <v>19.97</v>
      </c>
      <c r="AY26">
        <v>27.09</v>
      </c>
      <c r="AZ26">
        <v>33.64</v>
      </c>
      <c r="BA26">
        <v>39.67</v>
      </c>
      <c r="BB26">
        <v>45</v>
      </c>
      <c r="BC26">
        <v>46.23</v>
      </c>
      <c r="BD26">
        <v>47.979993050602602</v>
      </c>
      <c r="BE26">
        <v>51.899987665850297</v>
      </c>
      <c r="BF26">
        <v>53.061500000000002</v>
      </c>
      <c r="BG26">
        <v>55.490376629926203</v>
      </c>
      <c r="BH26">
        <v>56.656251605308597</v>
      </c>
      <c r="BI26">
        <v>59.825547661013999</v>
      </c>
      <c r="BJ26">
        <v>63.4101013837926</v>
      </c>
      <c r="BK26">
        <v>64.782010691180005</v>
      </c>
      <c r="BL26">
        <v>67.946980941760302</v>
      </c>
      <c r="BM26">
        <v>70.162483589999994</v>
      </c>
      <c r="BN26">
        <v>75.271445830000005</v>
      </c>
      <c r="BO26">
        <v>79.126863259999993</v>
      </c>
      <c r="BP26">
        <v>80.389564620000002</v>
      </c>
      <c r="BQ26">
        <v>82.438955000000007</v>
      </c>
    </row>
    <row r="27" spans="1:70">
      <c r="A27" t="s">
        <v>119</v>
      </c>
      <c r="B27" t="s">
        <v>120</v>
      </c>
      <c r="C27" t="s">
        <v>75</v>
      </c>
      <c r="D27" t="s">
        <v>76</v>
      </c>
      <c r="AI27">
        <v>0</v>
      </c>
      <c r="AN27">
        <v>0.34599999999999997</v>
      </c>
      <c r="AO27">
        <v>0.84299999999999997</v>
      </c>
      <c r="AP27">
        <v>1.65</v>
      </c>
      <c r="AQ27">
        <v>3.22</v>
      </c>
      <c r="AR27">
        <v>4.72</v>
      </c>
      <c r="AS27">
        <v>6.1537325464760704</v>
      </c>
      <c r="AT27">
        <v>15.0386342513918</v>
      </c>
      <c r="AU27">
        <v>18.050720888115301</v>
      </c>
      <c r="AV27">
        <v>21.554944991780399</v>
      </c>
      <c r="AW27">
        <v>21.458680507743502</v>
      </c>
      <c r="AX27">
        <v>21.30369949</v>
      </c>
      <c r="AY27">
        <v>28.243999479999999</v>
      </c>
      <c r="AZ27">
        <v>32.909999999999997</v>
      </c>
      <c r="BA27">
        <v>51.95</v>
      </c>
      <c r="BB27">
        <v>53</v>
      </c>
      <c r="BC27">
        <v>55</v>
      </c>
      <c r="BD27">
        <v>76.999966503230297</v>
      </c>
      <c r="BE27">
        <v>88</v>
      </c>
      <c r="BF27">
        <v>90.000039700000002</v>
      </c>
      <c r="BG27">
        <v>90.503133481465596</v>
      </c>
      <c r="BH27">
        <v>93.478300798612906</v>
      </c>
      <c r="BI27">
        <v>97.999980702414604</v>
      </c>
      <c r="BJ27">
        <v>95.878135754345294</v>
      </c>
      <c r="BK27">
        <v>98.644672579988594</v>
      </c>
      <c r="BL27">
        <v>99.701504380777806</v>
      </c>
      <c r="BM27">
        <v>99.671031589999998</v>
      </c>
      <c r="BN27">
        <v>100</v>
      </c>
      <c r="BO27">
        <v>100</v>
      </c>
      <c r="BP27">
        <v>100</v>
      </c>
      <c r="BQ27">
        <v>100</v>
      </c>
    </row>
    <row r="28" spans="1:70">
      <c r="A28" t="s">
        <v>121</v>
      </c>
      <c r="B28" t="s">
        <v>122</v>
      </c>
      <c r="C28" t="s">
        <v>75</v>
      </c>
      <c r="D28" t="s">
        <v>76</v>
      </c>
      <c r="AI28">
        <v>0</v>
      </c>
      <c r="AN28">
        <v>0.96</v>
      </c>
      <c r="AO28">
        <v>1.75</v>
      </c>
      <c r="AP28">
        <v>1.36</v>
      </c>
      <c r="AQ28">
        <v>2.34</v>
      </c>
      <c r="AR28">
        <v>3.76</v>
      </c>
      <c r="AS28">
        <v>8</v>
      </c>
      <c r="AT28">
        <v>11.8</v>
      </c>
      <c r="AU28">
        <v>18</v>
      </c>
      <c r="AV28">
        <v>20</v>
      </c>
      <c r="AW28">
        <v>22</v>
      </c>
      <c r="AX28">
        <v>25</v>
      </c>
      <c r="AY28">
        <v>26</v>
      </c>
      <c r="AZ28">
        <v>27</v>
      </c>
      <c r="BA28">
        <v>31.54</v>
      </c>
      <c r="BB28">
        <v>33.880000000000003</v>
      </c>
      <c r="BC28">
        <v>43</v>
      </c>
      <c r="BD28">
        <v>65</v>
      </c>
      <c r="BE28">
        <v>71.748199459999995</v>
      </c>
      <c r="BF28">
        <v>72</v>
      </c>
      <c r="BG28">
        <v>76.91999817</v>
      </c>
      <c r="BH28">
        <v>78</v>
      </c>
      <c r="BI28">
        <v>80</v>
      </c>
      <c r="BJ28">
        <v>80.599998470000003</v>
      </c>
      <c r="BK28">
        <v>83</v>
      </c>
      <c r="BL28">
        <v>90.693298339999998</v>
      </c>
      <c r="BM28">
        <v>92.443702700000003</v>
      </c>
      <c r="BN28">
        <v>92.349800110000004</v>
      </c>
      <c r="BO28">
        <v>92.255996699999997</v>
      </c>
      <c r="BP28">
        <v>92.387298580000007</v>
      </c>
      <c r="BQ28">
        <v>92.472702029999994</v>
      </c>
    </row>
    <row r="29" spans="1:70">
      <c r="A29" t="s">
        <v>123</v>
      </c>
      <c r="B29" t="s">
        <v>124</v>
      </c>
      <c r="C29" t="s">
        <v>75</v>
      </c>
      <c r="D29" t="s">
        <v>76</v>
      </c>
      <c r="AI29">
        <v>0</v>
      </c>
      <c r="AO29">
        <v>1.5100000000000001E-2</v>
      </c>
      <c r="AP29">
        <v>5.9400000000000001E-2</v>
      </c>
      <c r="AQ29">
        <v>0.14400000000000002</v>
      </c>
      <c r="AR29">
        <v>0.19400000000000001</v>
      </c>
      <c r="AS29">
        <v>1.0829607497120699</v>
      </c>
      <c r="AT29">
        <v>1.20052695129649</v>
      </c>
      <c r="AU29">
        <v>2.6482679136124401</v>
      </c>
      <c r="AV29">
        <v>3.96503683387051</v>
      </c>
      <c r="AW29">
        <v>15.4689716227665</v>
      </c>
      <c r="AX29">
        <v>21.326701000773799</v>
      </c>
      <c r="AY29">
        <v>25.1223856852117</v>
      </c>
      <c r="AZ29">
        <v>27.92</v>
      </c>
      <c r="BA29">
        <v>34.659999999999997</v>
      </c>
      <c r="BB29">
        <v>37.74</v>
      </c>
      <c r="BC29">
        <v>42.75</v>
      </c>
      <c r="BD29">
        <v>43.887699130000001</v>
      </c>
      <c r="BE29">
        <v>45.064498899999997</v>
      </c>
      <c r="BF29">
        <v>48.521301270000002</v>
      </c>
      <c r="BG29">
        <v>49.917701719999997</v>
      </c>
      <c r="BH29">
        <v>52.599998470000003</v>
      </c>
      <c r="BI29">
        <v>60.256535431898698</v>
      </c>
      <c r="BJ29">
        <v>64.8920205128383</v>
      </c>
      <c r="BK29">
        <v>70.120135039488503</v>
      </c>
      <c r="BL29">
        <v>69.946347631726596</v>
      </c>
      <c r="BM29">
        <v>73.211752939999997</v>
      </c>
      <c r="BN29">
        <v>75.676201379999995</v>
      </c>
      <c r="BO29">
        <v>78.845537100000001</v>
      </c>
      <c r="BP29">
        <v>83.377153899999996</v>
      </c>
      <c r="BQ29">
        <v>86.100911030000006</v>
      </c>
    </row>
    <row r="30" spans="1:70">
      <c r="A30" t="s">
        <v>125</v>
      </c>
      <c r="B30" t="s">
        <v>126</v>
      </c>
      <c r="C30" t="s">
        <v>75</v>
      </c>
      <c r="D30" t="s">
        <v>76</v>
      </c>
      <c r="AI30">
        <v>0</v>
      </c>
      <c r="AM30">
        <v>4.86E-4</v>
      </c>
      <c r="AN30">
        <v>2.9200000000000003E-3</v>
      </c>
      <c r="AO30">
        <v>2.9300000000000003E-2</v>
      </c>
      <c r="AP30">
        <v>4.9000000000000002E-2</v>
      </c>
      <c r="AQ30">
        <v>7.3899999999999993E-2</v>
      </c>
      <c r="AR30">
        <v>0.495</v>
      </c>
      <c r="AS30">
        <v>1.86039812615388</v>
      </c>
      <c r="AT30">
        <v>4.3006160215171203</v>
      </c>
      <c r="AU30">
        <v>8.9509713146732501</v>
      </c>
      <c r="AY30">
        <v>16.2</v>
      </c>
      <c r="AZ30">
        <v>19.7</v>
      </c>
      <c r="BA30">
        <v>23</v>
      </c>
      <c r="BB30">
        <v>27.43</v>
      </c>
      <c r="BC30">
        <v>31.8</v>
      </c>
      <c r="BD30">
        <v>39.648895659896098</v>
      </c>
      <c r="BE30">
        <v>46.91</v>
      </c>
      <c r="BF30">
        <v>54.17</v>
      </c>
      <c r="BG30">
        <v>59.016318710154202</v>
      </c>
      <c r="BH30">
        <v>62.230360906803</v>
      </c>
      <c r="BI30">
        <v>71.113045760383201</v>
      </c>
      <c r="BJ30">
        <v>74.436445413603593</v>
      </c>
      <c r="BK30">
        <v>79.129886691930693</v>
      </c>
      <c r="BL30">
        <v>82.789152091090102</v>
      </c>
      <c r="BM30">
        <v>85.087912450000005</v>
      </c>
      <c r="BN30">
        <v>86.888411959999999</v>
      </c>
      <c r="BO30">
        <v>89.507331480000005</v>
      </c>
      <c r="BP30">
        <v>91.512499790000007</v>
      </c>
      <c r="BQ30">
        <v>94.261821280000007</v>
      </c>
    </row>
    <row r="31" spans="1:70">
      <c r="A31" t="s">
        <v>127</v>
      </c>
      <c r="B31" t="s">
        <v>128</v>
      </c>
      <c r="C31" t="s">
        <v>75</v>
      </c>
      <c r="D31" t="s">
        <v>76</v>
      </c>
      <c r="AI31">
        <v>0</v>
      </c>
      <c r="AN31">
        <v>4.5399999999999996E-2</v>
      </c>
      <c r="AO31">
        <v>0.8829999999999999</v>
      </c>
      <c r="AP31">
        <v>1.29</v>
      </c>
      <c r="AQ31">
        <v>2.09</v>
      </c>
      <c r="AR31">
        <v>4.08</v>
      </c>
      <c r="AS31">
        <v>5.9638353027242799</v>
      </c>
      <c r="AU31">
        <v>5.68425121358763</v>
      </c>
      <c r="AW31">
        <v>9.8000000000000007</v>
      </c>
      <c r="AX31">
        <v>17</v>
      </c>
      <c r="AY31">
        <v>24</v>
      </c>
      <c r="AZ31">
        <v>24.600000380000001</v>
      </c>
      <c r="BA31">
        <v>26.299999240000002</v>
      </c>
      <c r="BB31">
        <v>27.200000760000002</v>
      </c>
      <c r="BC31">
        <v>28.2</v>
      </c>
      <c r="BD31">
        <v>30.700000760000002</v>
      </c>
      <c r="BE31">
        <v>31</v>
      </c>
      <c r="BF31">
        <v>33.599998470000003</v>
      </c>
      <c r="BG31">
        <v>38.700000760000002</v>
      </c>
      <c r="BH31">
        <v>41.590000150000002</v>
      </c>
      <c r="BI31">
        <v>44.575698850000002</v>
      </c>
      <c r="BJ31">
        <v>48.8771019</v>
      </c>
      <c r="BK31">
        <v>53.593601229999997</v>
      </c>
      <c r="BL31">
        <v>58.765201570000002</v>
      </c>
      <c r="BM31">
        <v>64.435897830000002</v>
      </c>
      <c r="BN31">
        <v>70.653701780000006</v>
      </c>
      <c r="BO31">
        <v>69.983299259999995</v>
      </c>
      <c r="BP31">
        <v>70.187202450000001</v>
      </c>
      <c r="BQ31">
        <v>80.005822620000004</v>
      </c>
    </row>
    <row r="32" spans="1:70">
      <c r="A32" t="s">
        <v>129</v>
      </c>
      <c r="B32" t="s">
        <v>130</v>
      </c>
      <c r="C32" t="s">
        <v>75</v>
      </c>
      <c r="D32" t="s">
        <v>76</v>
      </c>
      <c r="AI32">
        <v>0</v>
      </c>
      <c r="AN32">
        <v>6.84</v>
      </c>
      <c r="AO32">
        <v>16.2</v>
      </c>
      <c r="AP32">
        <v>24.2</v>
      </c>
      <c r="AQ32">
        <v>32.1</v>
      </c>
      <c r="AR32">
        <v>39.9</v>
      </c>
      <c r="AS32">
        <v>42.949860015271099</v>
      </c>
      <c r="AT32">
        <v>47.509699897062298</v>
      </c>
      <c r="AU32">
        <v>52.0315973700393</v>
      </c>
      <c r="AV32">
        <v>56.522012183633699</v>
      </c>
      <c r="AW32">
        <v>60.990867008632598</v>
      </c>
      <c r="AX32">
        <v>65.447065789883794</v>
      </c>
      <c r="AY32">
        <v>69.899655161701205</v>
      </c>
      <c r="AZ32">
        <v>74.350594030266905</v>
      </c>
      <c r="BA32">
        <v>82.3</v>
      </c>
      <c r="BB32">
        <v>83.25</v>
      </c>
      <c r="BC32">
        <v>84.21</v>
      </c>
      <c r="BD32">
        <v>88.335999999999999</v>
      </c>
      <c r="BE32">
        <v>91.299304524340101</v>
      </c>
      <c r="BF32">
        <v>95.3</v>
      </c>
      <c r="BG32">
        <v>96.8</v>
      </c>
      <c r="BH32">
        <v>98.3236096537251</v>
      </c>
      <c r="BI32">
        <v>98</v>
      </c>
      <c r="BJ32">
        <v>98.37</v>
      </c>
    </row>
    <row r="33" spans="1:70">
      <c r="A33" t="s">
        <v>131</v>
      </c>
      <c r="B33" t="s">
        <v>132</v>
      </c>
      <c r="C33" t="s">
        <v>75</v>
      </c>
      <c r="D33" t="s">
        <v>76</v>
      </c>
      <c r="AI33">
        <v>0</v>
      </c>
      <c r="AN33">
        <v>6.6799999999999998E-2</v>
      </c>
      <c r="AO33">
        <v>0.19600000000000001</v>
      </c>
      <c r="AP33">
        <v>0.44799999999999995</v>
      </c>
      <c r="AQ33">
        <v>0.626</v>
      </c>
      <c r="AR33">
        <v>0.9820000000000001</v>
      </c>
      <c r="AS33">
        <v>1.4427635847914</v>
      </c>
      <c r="AT33">
        <v>2.1204625341365002</v>
      </c>
      <c r="AU33">
        <v>3.1171929469699702</v>
      </c>
      <c r="AV33">
        <v>3.5085964007233601</v>
      </c>
      <c r="AW33">
        <v>4.4399246012004197</v>
      </c>
      <c r="AX33">
        <v>5.2275839566319604</v>
      </c>
      <c r="AY33">
        <v>6.2006712547357603</v>
      </c>
      <c r="AZ33">
        <v>10.49919987</v>
      </c>
      <c r="BA33">
        <v>12.5</v>
      </c>
      <c r="BB33">
        <v>16.799999240000002</v>
      </c>
      <c r="BC33">
        <v>22.399999619999999</v>
      </c>
      <c r="BD33">
        <v>30</v>
      </c>
      <c r="BE33">
        <v>35.340000000000003</v>
      </c>
      <c r="BF33">
        <v>36.99</v>
      </c>
      <c r="BG33">
        <v>34.601620232467603</v>
      </c>
      <c r="BH33">
        <v>37.486817632439099</v>
      </c>
      <c r="BI33">
        <v>39.697498320000001</v>
      </c>
      <c r="BJ33">
        <v>43.832298280000003</v>
      </c>
      <c r="BK33">
        <v>44.286142202428302</v>
      </c>
      <c r="BL33">
        <v>47.4748191121692</v>
      </c>
      <c r="BM33">
        <v>59.940101550000001</v>
      </c>
      <c r="BN33">
        <v>65.9773785</v>
      </c>
      <c r="BO33">
        <v>72.622703549999997</v>
      </c>
      <c r="BP33">
        <v>77.300399780000006</v>
      </c>
      <c r="BQ33">
        <v>79.704696659999996</v>
      </c>
    </row>
    <row r="34" spans="1:70">
      <c r="A34" t="s">
        <v>133</v>
      </c>
      <c r="B34" t="s">
        <v>134</v>
      </c>
      <c r="C34" t="s">
        <v>75</v>
      </c>
      <c r="D34" t="s">
        <v>76</v>
      </c>
      <c r="AI34">
        <v>0</v>
      </c>
      <c r="AJ34">
        <v>3.29E-3</v>
      </c>
      <c r="AK34">
        <v>1.2899999999999998E-2</v>
      </c>
      <c r="AL34">
        <v>2.5500000000000002E-2</v>
      </c>
      <c r="AM34">
        <v>3.7699999999999997E-2</v>
      </c>
      <c r="AN34">
        <v>0.105</v>
      </c>
      <c r="AO34">
        <v>0.45100000000000001</v>
      </c>
      <c r="AP34">
        <v>0.78600000000000003</v>
      </c>
      <c r="AQ34">
        <v>1.48</v>
      </c>
      <c r="AR34">
        <v>2.04</v>
      </c>
      <c r="AS34">
        <v>2.8706851585410802</v>
      </c>
      <c r="AT34">
        <v>4.5284948690285098</v>
      </c>
      <c r="AU34">
        <v>9.1494250856074792</v>
      </c>
      <c r="AV34">
        <v>13.2075861035303</v>
      </c>
      <c r="AW34">
        <v>19.073672274442</v>
      </c>
      <c r="AX34">
        <v>21.022747248826999</v>
      </c>
      <c r="AY34">
        <v>28.17840004</v>
      </c>
      <c r="AZ34">
        <v>30.879999160000001</v>
      </c>
      <c r="BA34">
        <v>33.83</v>
      </c>
      <c r="BB34">
        <v>39.22</v>
      </c>
      <c r="BC34">
        <v>40.65</v>
      </c>
      <c r="BD34">
        <v>45.69</v>
      </c>
      <c r="BE34">
        <v>48.56</v>
      </c>
      <c r="BF34">
        <v>51.04</v>
      </c>
      <c r="BG34">
        <v>54.551001879639202</v>
      </c>
      <c r="BH34">
        <v>58.327951734092402</v>
      </c>
      <c r="BI34">
        <v>60.872540068126099</v>
      </c>
      <c r="BJ34">
        <v>67.471284523630501</v>
      </c>
      <c r="BK34">
        <v>70.434282540436101</v>
      </c>
      <c r="BL34">
        <v>73.912439913358895</v>
      </c>
      <c r="BM34">
        <v>81.342693530000005</v>
      </c>
      <c r="BN34">
        <v>80.689893139999995</v>
      </c>
      <c r="BO34">
        <v>80.527750940000004</v>
      </c>
      <c r="BP34">
        <v>84.150602379999995</v>
      </c>
      <c r="BQ34">
        <v>84.463472269999997</v>
      </c>
    </row>
    <row r="35" spans="1:70">
      <c r="A35" t="s">
        <v>135</v>
      </c>
      <c r="B35" t="s">
        <v>136</v>
      </c>
      <c r="C35" t="s">
        <v>75</v>
      </c>
      <c r="D35" t="s">
        <v>76</v>
      </c>
      <c r="AI35">
        <v>0</v>
      </c>
      <c r="AN35">
        <v>7.7499999999999999E-3</v>
      </c>
      <c r="AO35">
        <v>0.38899999999999996</v>
      </c>
      <c r="AP35">
        <v>0.78300000000000003</v>
      </c>
      <c r="AQ35">
        <v>1.97</v>
      </c>
      <c r="AR35">
        <v>2.38</v>
      </c>
      <c r="AS35">
        <v>3.97367835457927</v>
      </c>
      <c r="AT35">
        <v>11.9364503383984</v>
      </c>
      <c r="AU35">
        <v>27.836322424146001</v>
      </c>
      <c r="AV35">
        <v>39.689627115953201</v>
      </c>
      <c r="AW35">
        <v>49.8</v>
      </c>
      <c r="AX35">
        <v>52.5</v>
      </c>
      <c r="AY35">
        <v>55.299999239999998</v>
      </c>
      <c r="AZ35">
        <v>58.200000760000002</v>
      </c>
      <c r="BA35">
        <v>61.400001529999997</v>
      </c>
      <c r="BB35">
        <v>64.699996949999999</v>
      </c>
      <c r="BC35">
        <v>65.099998470000003</v>
      </c>
      <c r="BD35">
        <v>66.5</v>
      </c>
      <c r="BE35">
        <v>71.199996949999999</v>
      </c>
      <c r="BF35">
        <v>71.800003050000001</v>
      </c>
      <c r="BG35">
        <v>71.924598689999996</v>
      </c>
      <c r="BH35">
        <v>72.049400329999997</v>
      </c>
      <c r="BI35">
        <v>71.572998049999995</v>
      </c>
      <c r="BJ35">
        <v>71.148498540000006</v>
      </c>
      <c r="BK35">
        <v>70.726501459999994</v>
      </c>
      <c r="BL35">
        <v>70.307098389999993</v>
      </c>
      <c r="BM35">
        <v>69.890098570000006</v>
      </c>
      <c r="BN35">
        <v>69.4756012</v>
      </c>
      <c r="BO35">
        <v>69.063598630000001</v>
      </c>
      <c r="BP35">
        <v>69.675102229999993</v>
      </c>
      <c r="BQ35">
        <v>70.364700319999997</v>
      </c>
    </row>
    <row r="36" spans="1:70">
      <c r="A36" t="s">
        <v>137</v>
      </c>
      <c r="B36" t="s">
        <v>138</v>
      </c>
      <c r="C36" t="s">
        <v>75</v>
      </c>
      <c r="D36" t="s">
        <v>76</v>
      </c>
      <c r="AI36">
        <v>0</v>
      </c>
      <c r="AN36">
        <v>1.02</v>
      </c>
      <c r="AO36">
        <v>3.3</v>
      </c>
      <c r="AP36">
        <v>4.83</v>
      </c>
      <c r="AQ36">
        <v>6.28</v>
      </c>
      <c r="AR36">
        <v>7.67</v>
      </c>
      <c r="AS36">
        <v>8.9962845344872608</v>
      </c>
      <c r="AT36">
        <v>12.9177690823013</v>
      </c>
      <c r="AU36">
        <v>15.329879855734999</v>
      </c>
      <c r="AV36">
        <v>19.595003220734199</v>
      </c>
      <c r="AW36">
        <v>29.715604144786401</v>
      </c>
      <c r="AX36">
        <v>36.466391947578202</v>
      </c>
      <c r="AY36">
        <v>42.186349160930703</v>
      </c>
      <c r="AZ36">
        <v>44.68</v>
      </c>
      <c r="BA36">
        <v>46</v>
      </c>
      <c r="BB36">
        <v>49</v>
      </c>
      <c r="BC36">
        <v>53</v>
      </c>
      <c r="BD36">
        <v>56</v>
      </c>
      <c r="BE36">
        <v>60.27310181</v>
      </c>
      <c r="BF36">
        <v>64.5</v>
      </c>
      <c r="BG36">
        <v>68.769996640000002</v>
      </c>
      <c r="BH36">
        <v>71.199996949999999</v>
      </c>
      <c r="BI36">
        <v>90</v>
      </c>
      <c r="BJ36">
        <v>94.866699220000001</v>
      </c>
      <c r="BK36">
        <v>95</v>
      </c>
      <c r="BL36">
        <v>95</v>
      </c>
      <c r="BM36">
        <v>96.305496219999995</v>
      </c>
      <c r="BN36">
        <v>97.628799439999995</v>
      </c>
      <c r="BO36">
        <v>98.970425789999993</v>
      </c>
      <c r="BP36">
        <v>98.970397950000006</v>
      </c>
      <c r="BQ36">
        <v>96.298288009999993</v>
      </c>
    </row>
    <row r="37" spans="1:70">
      <c r="A37" t="s">
        <v>139</v>
      </c>
      <c r="B37" t="s">
        <v>140</v>
      </c>
      <c r="C37" t="s">
        <v>75</v>
      </c>
      <c r="D37" t="s">
        <v>76</v>
      </c>
      <c r="AI37">
        <v>0</v>
      </c>
      <c r="AR37">
        <v>0.13799999999999998</v>
      </c>
      <c r="AS37">
        <v>0.40094444691941</v>
      </c>
      <c r="AT37">
        <v>0.86462856421509904</v>
      </c>
      <c r="AU37">
        <v>1.67580258375242</v>
      </c>
      <c r="AV37">
        <v>2.43691239949767</v>
      </c>
      <c r="AW37">
        <v>3.1569841961371101</v>
      </c>
      <c r="AX37">
        <v>3.847100019</v>
      </c>
      <c r="AY37">
        <v>4.5183000560000002</v>
      </c>
      <c r="AZ37">
        <v>5.92</v>
      </c>
      <c r="BA37">
        <v>6.55</v>
      </c>
      <c r="BB37">
        <v>7.17</v>
      </c>
      <c r="BC37">
        <v>13.6</v>
      </c>
      <c r="BD37">
        <v>14.399999620000001</v>
      </c>
      <c r="BE37">
        <v>15.600000380000001</v>
      </c>
      <c r="BF37">
        <v>22.399999619999999</v>
      </c>
      <c r="BG37">
        <v>30.299999240000002</v>
      </c>
      <c r="BH37">
        <v>39.799999239999998</v>
      </c>
      <c r="BI37">
        <v>46.503200530000001</v>
      </c>
      <c r="BJ37">
        <v>54.335498809999997</v>
      </c>
      <c r="BK37">
        <v>63.486801149999998</v>
      </c>
      <c r="BL37">
        <v>74.17939758</v>
      </c>
      <c r="BM37">
        <v>76.850799559999999</v>
      </c>
      <c r="BN37">
        <v>85.636883890000007</v>
      </c>
      <c r="BO37">
        <v>88.356201170000006</v>
      </c>
      <c r="BP37">
        <v>90.021400450000002</v>
      </c>
      <c r="BQ37">
        <v>91.277397160000007</v>
      </c>
    </row>
    <row r="38" spans="1:70">
      <c r="A38" t="s">
        <v>141</v>
      </c>
      <c r="B38" t="s">
        <v>142</v>
      </c>
      <c r="C38" t="s">
        <v>75</v>
      </c>
      <c r="D38" t="s">
        <v>76</v>
      </c>
      <c r="AI38">
        <v>0</v>
      </c>
      <c r="AJ38">
        <v>0</v>
      </c>
      <c r="AN38">
        <v>6.4500000000000002E-2</v>
      </c>
      <c r="AO38">
        <v>0.157</v>
      </c>
      <c r="AP38">
        <v>0.308</v>
      </c>
      <c r="AQ38">
        <v>0.60199999999999998</v>
      </c>
      <c r="AR38">
        <v>1.1200000000000001</v>
      </c>
      <c r="AS38">
        <v>2.9026666217720898</v>
      </c>
      <c r="AT38">
        <v>3.4308867870259898</v>
      </c>
      <c r="AU38">
        <v>3.3859223506427298</v>
      </c>
      <c r="AV38">
        <v>3.3451901740614001</v>
      </c>
      <c r="AW38">
        <v>3.30488925316113</v>
      </c>
      <c r="AX38">
        <v>3.2625999449999998</v>
      </c>
      <c r="AY38">
        <v>4.2899329751596804</v>
      </c>
      <c r="AZ38">
        <v>5.28</v>
      </c>
      <c r="BA38">
        <v>6.25</v>
      </c>
      <c r="BB38">
        <v>6.1500000950000002</v>
      </c>
      <c r="BC38">
        <v>6</v>
      </c>
      <c r="BD38">
        <v>9</v>
      </c>
      <c r="BE38">
        <v>16</v>
      </c>
      <c r="BF38">
        <v>30</v>
      </c>
      <c r="BG38">
        <v>36.744747444230001</v>
      </c>
      <c r="BH38">
        <v>38.893798830000001</v>
      </c>
      <c r="BI38">
        <v>41.168598179999996</v>
      </c>
      <c r="BJ38">
        <v>43.576400759999999</v>
      </c>
      <c r="BK38">
        <v>46.125099179999999</v>
      </c>
      <c r="BL38">
        <v>48.822799680000003</v>
      </c>
      <c r="BM38">
        <v>51.678199769999999</v>
      </c>
      <c r="BN38">
        <v>54.700698850000002</v>
      </c>
      <c r="BO38">
        <v>57.9</v>
      </c>
      <c r="BQ38">
        <v>57.45950036</v>
      </c>
    </row>
    <row r="39" spans="1:70">
      <c r="A39" t="s">
        <v>143</v>
      </c>
      <c r="B39" t="s">
        <v>144</v>
      </c>
      <c r="C39" t="s">
        <v>75</v>
      </c>
      <c r="D39" t="s">
        <v>76</v>
      </c>
      <c r="AI39">
        <v>0</v>
      </c>
      <c r="AO39">
        <v>5.8500000000000002E-3</v>
      </c>
      <c r="AP39">
        <v>1.43E-2</v>
      </c>
      <c r="AQ39">
        <v>2.7900000000000001E-2</v>
      </c>
      <c r="AR39">
        <v>4.0899999999999999E-2</v>
      </c>
      <c r="AS39">
        <v>5.3394174215045602E-2</v>
      </c>
      <c r="AT39">
        <v>7.8543427839403795E-2</v>
      </c>
      <c r="AU39">
        <v>0.12853711650629901</v>
      </c>
      <c r="AV39">
        <v>0.151563337940017</v>
      </c>
      <c r="AW39">
        <v>0.22340139546440599</v>
      </c>
      <c r="AX39">
        <v>0.26820000999999999</v>
      </c>
      <c r="AY39">
        <v>0.31119999300000001</v>
      </c>
      <c r="AZ39">
        <v>0.37581596104479698</v>
      </c>
      <c r="BA39">
        <v>1</v>
      </c>
      <c r="BB39">
        <v>1.7999999520000001</v>
      </c>
      <c r="BC39">
        <v>2</v>
      </c>
      <c r="BD39">
        <v>2.2000000480000002</v>
      </c>
      <c r="BE39">
        <v>2.4000000950000002</v>
      </c>
      <c r="BF39">
        <v>2.5</v>
      </c>
      <c r="BG39">
        <v>2.7000000480000002</v>
      </c>
      <c r="BH39">
        <v>2.9000000950000002</v>
      </c>
      <c r="BI39">
        <v>3.0999999050000002</v>
      </c>
      <c r="BJ39">
        <v>4</v>
      </c>
      <c r="BK39">
        <v>5.0999999049999998</v>
      </c>
      <c r="BL39">
        <v>7.5092000959999998</v>
      </c>
      <c r="BO39">
        <v>13.75360012</v>
      </c>
      <c r="BP39">
        <v>13.8416996</v>
      </c>
      <c r="BQ39">
        <v>13.78250027</v>
      </c>
    </row>
    <row r="40" spans="1:70">
      <c r="A40" t="s">
        <v>145</v>
      </c>
      <c r="B40" t="s">
        <v>146</v>
      </c>
      <c r="C40" t="s">
        <v>75</v>
      </c>
      <c r="D40" t="s">
        <v>76</v>
      </c>
      <c r="AI40">
        <v>0.36099999999999999</v>
      </c>
      <c r="AJ40">
        <v>0.56999999999999995</v>
      </c>
      <c r="AK40">
        <v>0.91599999999999993</v>
      </c>
      <c r="AL40">
        <v>1.18</v>
      </c>
      <c r="AM40">
        <v>2.38</v>
      </c>
      <c r="AN40">
        <v>4.16</v>
      </c>
      <c r="AO40">
        <v>6.76</v>
      </c>
      <c r="AP40">
        <v>15.1</v>
      </c>
      <c r="AQ40">
        <v>24.9</v>
      </c>
      <c r="AR40">
        <v>36.200000000000003</v>
      </c>
      <c r="AS40">
        <v>51.3</v>
      </c>
      <c r="AT40">
        <v>60.2</v>
      </c>
      <c r="AU40">
        <v>61.593299268195203</v>
      </c>
      <c r="AV40">
        <v>64.2</v>
      </c>
      <c r="AW40">
        <v>65.9559634648989</v>
      </c>
      <c r="AX40">
        <v>71.66</v>
      </c>
      <c r="AY40">
        <v>72.400001529999997</v>
      </c>
      <c r="AZ40">
        <v>73.2</v>
      </c>
      <c r="BA40">
        <v>76.699996949999999</v>
      </c>
      <c r="BB40">
        <v>80.3</v>
      </c>
      <c r="BC40">
        <v>80.3</v>
      </c>
      <c r="BD40">
        <v>83</v>
      </c>
      <c r="BE40">
        <v>83</v>
      </c>
      <c r="BF40">
        <v>85.800003050000001</v>
      </c>
      <c r="BG40">
        <v>87.120002749999998</v>
      </c>
      <c r="BH40">
        <v>90</v>
      </c>
      <c r="BI40">
        <v>91.160003660000001</v>
      </c>
      <c r="BJ40">
        <v>92.701400759999999</v>
      </c>
      <c r="BK40">
        <v>94.64</v>
      </c>
      <c r="BL40">
        <v>91.912902829999993</v>
      </c>
      <c r="BM40">
        <v>92.3</v>
      </c>
      <c r="BN40">
        <v>93.937103269999994</v>
      </c>
      <c r="BO40">
        <v>94</v>
      </c>
      <c r="BP40">
        <v>94.14530182</v>
      </c>
      <c r="BQ40">
        <v>94.353301999999999</v>
      </c>
    </row>
    <row r="41" spans="1:70">
      <c r="A41" t="s">
        <v>147</v>
      </c>
      <c r="B41" t="s">
        <v>148</v>
      </c>
      <c r="C41" t="s">
        <v>75</v>
      </c>
      <c r="D41" t="s">
        <v>76</v>
      </c>
    </row>
    <row r="42" spans="1:70">
      <c r="A42" t="s">
        <v>149</v>
      </c>
      <c r="B42" t="s">
        <v>150</v>
      </c>
      <c r="C42" t="s">
        <v>75</v>
      </c>
      <c r="D42" t="s">
        <v>76</v>
      </c>
      <c r="AI42">
        <v>0.59599999999999997</v>
      </c>
      <c r="AJ42">
        <v>1.18</v>
      </c>
      <c r="AK42">
        <v>1.75</v>
      </c>
      <c r="AL42">
        <v>2.17</v>
      </c>
      <c r="AM42">
        <v>2.72</v>
      </c>
      <c r="AN42">
        <v>3.55</v>
      </c>
      <c r="AO42">
        <v>4.55</v>
      </c>
      <c r="AP42">
        <v>15.1</v>
      </c>
      <c r="AQ42">
        <v>24.8</v>
      </c>
      <c r="AR42">
        <v>34</v>
      </c>
      <c r="AS42">
        <v>47.1</v>
      </c>
      <c r="AT42">
        <v>55.1</v>
      </c>
      <c r="AU42">
        <v>61.4</v>
      </c>
      <c r="AV42">
        <v>65.099999999999994</v>
      </c>
      <c r="AW42">
        <v>67.8</v>
      </c>
      <c r="AX42">
        <v>70.099999999999994</v>
      </c>
      <c r="AY42">
        <v>75.7</v>
      </c>
      <c r="AZ42">
        <v>77.2</v>
      </c>
      <c r="BA42">
        <v>79.2</v>
      </c>
      <c r="BB42">
        <v>81.3</v>
      </c>
      <c r="BC42">
        <v>83.9</v>
      </c>
      <c r="BD42">
        <v>85.193028180485399</v>
      </c>
      <c r="BE42">
        <v>85.2</v>
      </c>
      <c r="BF42">
        <v>86.34</v>
      </c>
      <c r="BG42">
        <v>83.6172512621702</v>
      </c>
      <c r="BH42">
        <v>87.4790555978675</v>
      </c>
      <c r="BI42">
        <v>89.134687735139195</v>
      </c>
      <c r="BJ42">
        <v>89.686147671022496</v>
      </c>
      <c r="BK42">
        <v>91.800003050000001</v>
      </c>
      <c r="BL42">
        <v>93.146086953517695</v>
      </c>
      <c r="BM42">
        <v>94.349998470000003</v>
      </c>
      <c r="BN42">
        <v>95.569371540000006</v>
      </c>
      <c r="BO42">
        <v>96.452796939999999</v>
      </c>
      <c r="BP42">
        <v>97.344366230000006</v>
      </c>
      <c r="BQ42">
        <v>97.344398499999997</v>
      </c>
      <c r="BR42">
        <v>97.321038549999997</v>
      </c>
    </row>
    <row r="43" spans="1:70">
      <c r="A43" t="s">
        <v>151</v>
      </c>
      <c r="B43" t="s">
        <v>152</v>
      </c>
      <c r="C43" t="s">
        <v>75</v>
      </c>
      <c r="D43" t="s">
        <v>76</v>
      </c>
    </row>
    <row r="44" spans="1:70">
      <c r="A44" t="s">
        <v>153</v>
      </c>
      <c r="B44" t="s">
        <v>154</v>
      </c>
      <c r="C44" t="s">
        <v>75</v>
      </c>
      <c r="D44" t="s">
        <v>76</v>
      </c>
      <c r="AI44">
        <v>0</v>
      </c>
      <c r="AK44">
        <v>3.6499999999999998E-2</v>
      </c>
      <c r="AL44">
        <v>7.1800000000000003E-2</v>
      </c>
      <c r="AM44">
        <v>0.14100000000000001</v>
      </c>
      <c r="AN44">
        <v>0.34699999999999998</v>
      </c>
      <c r="AO44">
        <v>0.68300000000000005</v>
      </c>
      <c r="AP44">
        <v>1.06</v>
      </c>
      <c r="AQ44">
        <v>1.66</v>
      </c>
      <c r="AR44">
        <v>4.0999999999999996</v>
      </c>
      <c r="AS44">
        <v>16.600000000000001</v>
      </c>
      <c r="AT44">
        <v>19.100000000000001</v>
      </c>
      <c r="AU44">
        <v>22.1</v>
      </c>
      <c r="AV44">
        <v>25.473778886472299</v>
      </c>
      <c r="AW44">
        <v>28.177910123243802</v>
      </c>
      <c r="AX44">
        <v>31.1753006</v>
      </c>
      <c r="AY44">
        <v>34.497751173601699</v>
      </c>
      <c r="AZ44">
        <v>35.900001529999997</v>
      </c>
      <c r="BA44">
        <v>37.299999239999998</v>
      </c>
      <c r="BB44">
        <v>41.56</v>
      </c>
      <c r="BC44">
        <v>45</v>
      </c>
      <c r="BD44">
        <v>52.249607287774403</v>
      </c>
      <c r="BE44">
        <v>55.049999239999998</v>
      </c>
      <c r="BF44">
        <v>58</v>
      </c>
      <c r="BG44">
        <v>61.11000061</v>
      </c>
      <c r="BH44">
        <v>76.6295919508796</v>
      </c>
      <c r="BI44">
        <v>83.558586024416897</v>
      </c>
      <c r="BJ44">
        <v>82.327486933846401</v>
      </c>
      <c r="BK44">
        <v>84.900001529999997</v>
      </c>
      <c r="BL44">
        <v>85.017601010000007</v>
      </c>
      <c r="BM44">
        <v>87.459297179999993</v>
      </c>
      <c r="BN44">
        <v>90.232803340000004</v>
      </c>
      <c r="BO44">
        <v>92.318199160000006</v>
      </c>
      <c r="BP44">
        <v>94.457423449999993</v>
      </c>
      <c r="BQ44">
        <v>95.590243000000001</v>
      </c>
    </row>
    <row r="45" spans="1:70">
      <c r="A45" t="s">
        <v>155</v>
      </c>
      <c r="B45" t="s">
        <v>156</v>
      </c>
      <c r="C45" t="s">
        <v>75</v>
      </c>
      <c r="D45" t="s">
        <v>76</v>
      </c>
      <c r="AI45">
        <v>0</v>
      </c>
      <c r="AL45">
        <v>1.6899999999999999E-4</v>
      </c>
      <c r="AM45">
        <v>1.17E-3</v>
      </c>
      <c r="AN45">
        <v>4.9499999999999995E-3</v>
      </c>
      <c r="AO45">
        <v>1.3100000000000001E-2</v>
      </c>
      <c r="AP45">
        <v>3.2399999999999998E-2</v>
      </c>
      <c r="AQ45">
        <v>0.16900000000000001</v>
      </c>
      <c r="AR45">
        <v>0.70800000000000007</v>
      </c>
      <c r="AS45">
        <v>1.7759132067741501</v>
      </c>
      <c r="AT45">
        <v>2.6396502148587202</v>
      </c>
      <c r="AU45">
        <v>4.5957043307755097</v>
      </c>
      <c r="AV45">
        <v>6.2</v>
      </c>
      <c r="AW45">
        <v>7.3</v>
      </c>
      <c r="AX45">
        <v>8.5232570026954093</v>
      </c>
      <c r="AY45">
        <v>10.523152619385099</v>
      </c>
      <c r="AZ45">
        <v>16</v>
      </c>
      <c r="BA45">
        <v>22.6</v>
      </c>
      <c r="BB45">
        <v>28.9</v>
      </c>
      <c r="BC45">
        <v>34.299999999999997</v>
      </c>
      <c r="BD45">
        <v>38.299999999999997</v>
      </c>
      <c r="BE45">
        <v>42.300098419999998</v>
      </c>
      <c r="BF45">
        <v>45.799999239999998</v>
      </c>
      <c r="BG45">
        <v>47.900001529999997</v>
      </c>
      <c r="BH45">
        <v>50.299999239999998</v>
      </c>
      <c r="BI45">
        <v>53.2</v>
      </c>
      <c r="BJ45">
        <v>54.3</v>
      </c>
      <c r="BK45">
        <v>65.358398440000002</v>
      </c>
      <c r="BL45">
        <v>64.080881297515006</v>
      </c>
      <c r="BM45">
        <v>70.052759980000005</v>
      </c>
      <c r="BN45">
        <v>73.053235169999994</v>
      </c>
      <c r="BO45">
        <v>75.611316029999998</v>
      </c>
      <c r="BP45">
        <v>90.6</v>
      </c>
      <c r="BQ45">
        <v>92</v>
      </c>
      <c r="BR45">
        <v>91.6</v>
      </c>
    </row>
    <row r="46" spans="1:70">
      <c r="A46" t="s">
        <v>157</v>
      </c>
      <c r="B46" t="s">
        <v>158</v>
      </c>
      <c r="C46" t="s">
        <v>75</v>
      </c>
      <c r="D46" t="s">
        <v>76</v>
      </c>
      <c r="AI46">
        <v>0</v>
      </c>
      <c r="AN46">
        <v>1.9999999999999998E-4</v>
      </c>
      <c r="AO46">
        <v>8.4099999999999991E-3</v>
      </c>
      <c r="AP46">
        <v>1.8799999999999997E-2</v>
      </c>
      <c r="AQ46">
        <v>6.0999999999999999E-2</v>
      </c>
      <c r="AR46">
        <v>0.11900000000000001</v>
      </c>
      <c r="AS46">
        <v>0.23146167061279899</v>
      </c>
      <c r="AT46">
        <v>0.39574770224643901</v>
      </c>
      <c r="AU46">
        <v>0.49792936075330702</v>
      </c>
      <c r="AV46">
        <v>0.75866962945220495</v>
      </c>
      <c r="AW46">
        <v>0.84928241474770405</v>
      </c>
      <c r="AX46">
        <v>1.039199948</v>
      </c>
      <c r="AY46">
        <v>1.5248999599999999</v>
      </c>
      <c r="AZ46">
        <v>1.7999999520000001</v>
      </c>
      <c r="BA46">
        <v>1.8999999759999999</v>
      </c>
      <c r="BB46">
        <v>2</v>
      </c>
      <c r="BC46">
        <v>2.7000000480000002</v>
      </c>
      <c r="BD46">
        <v>2.9000000950000002</v>
      </c>
      <c r="BE46">
        <v>4.4000000950000002</v>
      </c>
      <c r="BF46">
        <v>6.5999999049999998</v>
      </c>
      <c r="BG46">
        <v>10</v>
      </c>
      <c r="BH46">
        <v>38.440000165461598</v>
      </c>
      <c r="BI46">
        <v>41.207814930441401</v>
      </c>
      <c r="BJ46">
        <v>43.839920851487598</v>
      </c>
      <c r="BK46">
        <v>37.546536130128104</v>
      </c>
      <c r="BL46">
        <v>36.288954565520498</v>
      </c>
      <c r="BM46">
        <v>36.016601559999998</v>
      </c>
      <c r="BN46">
        <v>35.950698850000002</v>
      </c>
      <c r="BO46">
        <v>38.413281220000002</v>
      </c>
      <c r="BP46">
        <v>40.652849789999998</v>
      </c>
      <c r="BQ46">
        <v>41.432199019999999</v>
      </c>
    </row>
    <row r="47" spans="1:70">
      <c r="A47" t="s">
        <v>159</v>
      </c>
      <c r="B47" t="s">
        <v>160</v>
      </c>
      <c r="C47" t="s">
        <v>75</v>
      </c>
      <c r="D47" t="s">
        <v>76</v>
      </c>
      <c r="AI47">
        <v>0</v>
      </c>
      <c r="AP47">
        <v>6.7700000000000008E-3</v>
      </c>
      <c r="AQ47">
        <v>1.3200000000000002E-2</v>
      </c>
      <c r="AR47">
        <v>0.129</v>
      </c>
      <c r="AS47">
        <v>0.25212007773366202</v>
      </c>
      <c r="AT47">
        <v>0.27705132184879699</v>
      </c>
      <c r="AU47">
        <v>0.36087158426775501</v>
      </c>
      <c r="AV47">
        <v>0.587622611130454</v>
      </c>
      <c r="AW47">
        <v>0.97607541549090204</v>
      </c>
      <c r="AX47">
        <v>1.4026999469999999</v>
      </c>
      <c r="AY47">
        <v>2.0287001130000002</v>
      </c>
      <c r="AZ47">
        <v>2.93</v>
      </c>
      <c r="BA47">
        <v>3.4000000950000002</v>
      </c>
      <c r="BB47">
        <v>3.84</v>
      </c>
      <c r="BC47">
        <v>4.3000001909999996</v>
      </c>
      <c r="BD47">
        <v>5</v>
      </c>
      <c r="BE47">
        <v>7.5</v>
      </c>
      <c r="BF47">
        <v>10</v>
      </c>
      <c r="BG47">
        <v>16.214872225752401</v>
      </c>
      <c r="BH47">
        <v>18.299999240000002</v>
      </c>
      <c r="BI47">
        <v>20.600000380000001</v>
      </c>
      <c r="BJ47">
        <v>23.2029719748646</v>
      </c>
      <c r="BK47">
        <v>29.700000760000002</v>
      </c>
      <c r="BL47">
        <v>36.539199830000001</v>
      </c>
      <c r="BM47">
        <v>37.697498320000001</v>
      </c>
      <c r="BN47">
        <v>38.89260101</v>
      </c>
      <c r="BO47">
        <v>40.125598910000001</v>
      </c>
      <c r="BP47">
        <v>42.243801120000001</v>
      </c>
      <c r="BQ47">
        <v>46.25880051</v>
      </c>
    </row>
    <row r="48" spans="1:70">
      <c r="A48" t="s">
        <v>161</v>
      </c>
      <c r="B48" t="s">
        <v>162</v>
      </c>
      <c r="C48" t="s">
        <v>75</v>
      </c>
      <c r="D48" t="s">
        <v>76</v>
      </c>
      <c r="AI48">
        <v>0</v>
      </c>
      <c r="AO48">
        <v>1.0800000000000001E-4</v>
      </c>
      <c r="AP48">
        <v>2.1100000000000001E-4</v>
      </c>
      <c r="AQ48">
        <v>4.1300000000000001E-4</v>
      </c>
      <c r="AR48">
        <v>1.01E-3</v>
      </c>
      <c r="AS48">
        <v>5.9021136806902998E-3</v>
      </c>
      <c r="AT48">
        <v>1.14757819210493E-2</v>
      </c>
      <c r="AU48">
        <v>9.2790702460692501E-2</v>
      </c>
      <c r="AV48">
        <v>0.13491483743733501</v>
      </c>
      <c r="AW48">
        <v>0.19620837517803899</v>
      </c>
      <c r="AX48">
        <v>0.23800000499999999</v>
      </c>
      <c r="AY48">
        <v>0.29609999100000001</v>
      </c>
      <c r="AZ48">
        <v>0.37000000500000002</v>
      </c>
      <c r="BA48">
        <v>0.439999998</v>
      </c>
      <c r="BB48">
        <v>0.560000002</v>
      </c>
      <c r="BC48">
        <v>0.72</v>
      </c>
      <c r="BD48">
        <v>1.2000000479999999</v>
      </c>
      <c r="BE48">
        <v>1.6799999480000001</v>
      </c>
      <c r="BF48">
        <v>2.2000000480000002</v>
      </c>
      <c r="BG48">
        <v>3</v>
      </c>
      <c r="BH48">
        <v>3.7999999519999998</v>
      </c>
      <c r="BI48">
        <v>10.1</v>
      </c>
      <c r="BK48">
        <v>11.69999981</v>
      </c>
      <c r="BL48">
        <v>13.02970028</v>
      </c>
      <c r="BM48">
        <v>14.51049995</v>
      </c>
      <c r="BN48">
        <v>16.1595993</v>
      </c>
      <c r="BO48">
        <v>17.996200559999998</v>
      </c>
      <c r="BP48">
        <v>18.967899320000001</v>
      </c>
      <c r="BQ48">
        <v>19.673500059999999</v>
      </c>
    </row>
    <row r="49" spans="1:69">
      <c r="A49" t="s">
        <v>163</v>
      </c>
      <c r="B49" t="s">
        <v>164</v>
      </c>
      <c r="C49" t="s">
        <v>75</v>
      </c>
      <c r="D49" t="s">
        <v>76</v>
      </c>
      <c r="AI49">
        <v>0</v>
      </c>
      <c r="AO49">
        <v>3.5299999999999997E-3</v>
      </c>
      <c r="AP49">
        <v>3.4700000000000004E-3</v>
      </c>
      <c r="AQ49">
        <v>3.4199999999999999E-3</v>
      </c>
      <c r="AR49">
        <v>1.6799999999999999E-2</v>
      </c>
      <c r="AS49">
        <v>2.6354732058027901E-2</v>
      </c>
      <c r="AT49">
        <v>3.2223616430693103E-2</v>
      </c>
      <c r="AU49">
        <v>0.15724951724398201</v>
      </c>
      <c r="AV49">
        <v>0.46001418683752199</v>
      </c>
      <c r="AW49">
        <v>1.0775049295850501</v>
      </c>
      <c r="AX49">
        <v>1.4634000060000001</v>
      </c>
      <c r="AY49">
        <v>2.0079998969999999</v>
      </c>
      <c r="AZ49">
        <v>2.7597043737090301</v>
      </c>
      <c r="BA49">
        <v>4.2875099027648096</v>
      </c>
      <c r="BB49">
        <v>4.5</v>
      </c>
      <c r="BC49">
        <v>5</v>
      </c>
      <c r="BD49">
        <v>5.6</v>
      </c>
      <c r="BE49">
        <v>6.1066999439999998</v>
      </c>
      <c r="BF49">
        <v>6.5999999049999998</v>
      </c>
      <c r="BG49">
        <v>7.1100001339999999</v>
      </c>
      <c r="BH49">
        <v>7.6160001749999999</v>
      </c>
      <c r="BI49">
        <v>8.1218996049999994</v>
      </c>
      <c r="BJ49">
        <v>8.6499996190000008</v>
      </c>
      <c r="BK49">
        <v>11.8071003</v>
      </c>
      <c r="BL49">
        <v>16.116399770000001</v>
      </c>
      <c r="BM49">
        <v>21.99850082</v>
      </c>
      <c r="BN49">
        <v>30.02739906</v>
      </c>
      <c r="BO49">
        <v>40.986698150000002</v>
      </c>
      <c r="BP49">
        <v>43.150398250000002</v>
      </c>
      <c r="BQ49">
        <v>47.251598360000003</v>
      </c>
    </row>
    <row r="50" spans="1:69">
      <c r="A50" t="s">
        <v>165</v>
      </c>
      <c r="B50" t="s">
        <v>166</v>
      </c>
      <c r="C50" t="s">
        <v>75</v>
      </c>
      <c r="D50" t="s">
        <v>76</v>
      </c>
      <c r="AI50">
        <v>0</v>
      </c>
      <c r="AM50">
        <v>0.107</v>
      </c>
      <c r="AN50">
        <v>0.188</v>
      </c>
      <c r="AO50">
        <v>0.33</v>
      </c>
      <c r="AP50">
        <v>0.55100000000000005</v>
      </c>
      <c r="AQ50">
        <v>1.1299999999999999</v>
      </c>
      <c r="AR50">
        <v>1.7</v>
      </c>
      <c r="AS50">
        <v>2.2075329926239999</v>
      </c>
      <c r="AT50">
        <v>2.8541999713343298</v>
      </c>
      <c r="AU50">
        <v>4.5999999999999996</v>
      </c>
      <c r="AV50">
        <v>7.3889237105255701</v>
      </c>
      <c r="AW50">
        <v>9.1186903029666002</v>
      </c>
      <c r="AX50">
        <v>11.0072638904585</v>
      </c>
      <c r="AY50">
        <v>15.341674536568201</v>
      </c>
      <c r="AZ50">
        <v>21.799999239999998</v>
      </c>
      <c r="BA50">
        <v>25.6</v>
      </c>
      <c r="BB50">
        <v>30</v>
      </c>
      <c r="BC50">
        <v>36.5</v>
      </c>
      <c r="BD50">
        <v>40.350915754631799</v>
      </c>
      <c r="BE50">
        <v>48.98</v>
      </c>
      <c r="BF50">
        <v>51.7</v>
      </c>
      <c r="BG50">
        <v>52.568136539247</v>
      </c>
      <c r="BH50">
        <v>55.904972514292403</v>
      </c>
      <c r="BI50">
        <v>58.1364935728703</v>
      </c>
      <c r="BJ50">
        <v>62.259880316284097</v>
      </c>
      <c r="BK50">
        <v>64.126376820445898</v>
      </c>
      <c r="BL50">
        <v>65.0069007159493</v>
      </c>
      <c r="BM50">
        <v>69.795334740000001</v>
      </c>
      <c r="BN50">
        <v>73.028374490000004</v>
      </c>
      <c r="BO50">
        <v>72.79637855</v>
      </c>
      <c r="BP50">
        <v>77.336863219999998</v>
      </c>
      <c r="BQ50">
        <v>79.345432990000006</v>
      </c>
    </row>
    <row r="51" spans="1:69">
      <c r="A51" t="s">
        <v>167</v>
      </c>
      <c r="B51" t="s">
        <v>168</v>
      </c>
      <c r="C51" t="s">
        <v>75</v>
      </c>
      <c r="D51" t="s">
        <v>76</v>
      </c>
      <c r="AI51">
        <v>0</v>
      </c>
      <c r="AP51">
        <v>0</v>
      </c>
      <c r="AQ51">
        <v>3.7900000000000003E-2</v>
      </c>
      <c r="AR51">
        <v>0.14799999999999999</v>
      </c>
      <c r="AS51">
        <v>0.27174060728590899</v>
      </c>
      <c r="AT51">
        <v>0.44306837253897702</v>
      </c>
      <c r="AU51">
        <v>0.55486967498508799</v>
      </c>
      <c r="AV51">
        <v>0.84818937015153695</v>
      </c>
      <c r="AW51">
        <v>1.32732717785355</v>
      </c>
      <c r="AX51">
        <v>2</v>
      </c>
      <c r="AY51">
        <v>2.2000000480000002</v>
      </c>
      <c r="AZ51">
        <v>2.5</v>
      </c>
      <c r="BA51">
        <v>3</v>
      </c>
      <c r="BB51">
        <v>3.5</v>
      </c>
      <c r="BC51">
        <v>5.0999999049999998</v>
      </c>
      <c r="BD51">
        <v>5.5</v>
      </c>
      <c r="BE51">
        <v>5.9752998350000004</v>
      </c>
      <c r="BF51">
        <v>6.5</v>
      </c>
      <c r="BG51">
        <v>6.9800000190000002</v>
      </c>
      <c r="BH51">
        <v>7.4591999050000002</v>
      </c>
      <c r="BI51">
        <v>7.9383001330000003</v>
      </c>
      <c r="BJ51">
        <v>8.4781999589999995</v>
      </c>
      <c r="BL51">
        <v>16.38380051</v>
      </c>
      <c r="BM51">
        <v>22.420400619999999</v>
      </c>
      <c r="BN51">
        <v>30.681200029999999</v>
      </c>
      <c r="BO51">
        <v>31.374099730000001</v>
      </c>
      <c r="BP51">
        <v>31.927499770000001</v>
      </c>
      <c r="BQ51">
        <v>32.51750183</v>
      </c>
    </row>
    <row r="52" spans="1:69">
      <c r="A52" t="s">
        <v>169</v>
      </c>
      <c r="B52" t="s">
        <v>170</v>
      </c>
      <c r="C52" t="s">
        <v>75</v>
      </c>
      <c r="D52" t="s">
        <v>76</v>
      </c>
      <c r="AI52">
        <v>0</v>
      </c>
      <c r="AP52">
        <v>0.24099999999999999</v>
      </c>
      <c r="AQ52">
        <v>0.47299999999999998</v>
      </c>
      <c r="AR52">
        <v>1.1599999999999999</v>
      </c>
      <c r="AS52">
        <v>1.8224438516439601</v>
      </c>
      <c r="AT52">
        <v>2.6853327127231101</v>
      </c>
      <c r="AU52">
        <v>3.5187571749658</v>
      </c>
      <c r="AV52">
        <v>4.3248853905371503</v>
      </c>
      <c r="AW52">
        <v>5.3188320695788303</v>
      </c>
      <c r="AX52">
        <v>6.0740871065981299</v>
      </c>
      <c r="AY52">
        <v>6.8089110075331298</v>
      </c>
      <c r="AZ52">
        <v>8.2832198195303395</v>
      </c>
      <c r="BA52">
        <v>14</v>
      </c>
      <c r="BB52">
        <v>21</v>
      </c>
      <c r="BC52">
        <v>30</v>
      </c>
      <c r="BD52">
        <v>32</v>
      </c>
      <c r="BE52">
        <v>34.74</v>
      </c>
      <c r="BF52">
        <v>37.5</v>
      </c>
      <c r="BG52">
        <v>40.259998320000001</v>
      </c>
      <c r="BH52">
        <v>42.683014158278098</v>
      </c>
      <c r="BI52">
        <v>50.322817867689203</v>
      </c>
      <c r="BJ52">
        <v>57.162146348489102</v>
      </c>
      <c r="BK52">
        <v>59.5</v>
      </c>
      <c r="BL52">
        <v>61.943397759308802</v>
      </c>
      <c r="BM52">
        <v>69.373397830000002</v>
      </c>
      <c r="BN52">
        <v>70.28250122</v>
      </c>
      <c r="BO52">
        <v>73.327400209999993</v>
      </c>
      <c r="BP52">
        <v>74.59919739</v>
      </c>
      <c r="BQ52">
        <v>74.735198969999999</v>
      </c>
    </row>
    <row r="53" spans="1:69">
      <c r="A53" t="s">
        <v>171</v>
      </c>
      <c r="B53" t="s">
        <v>172</v>
      </c>
      <c r="C53" t="s">
        <v>75</v>
      </c>
      <c r="D53" t="s">
        <v>76</v>
      </c>
      <c r="AI53">
        <v>0</v>
      </c>
      <c r="AK53">
        <v>1.1100000000000001E-3</v>
      </c>
      <c r="AL53">
        <v>8.1500000000000003E-2</v>
      </c>
      <c r="AM53">
        <v>0.28000000000000003</v>
      </c>
      <c r="AN53">
        <v>0.41700000000000004</v>
      </c>
      <c r="AO53">
        <v>0.84100000000000008</v>
      </c>
      <c r="AP53">
        <v>1.64</v>
      </c>
      <c r="AQ53">
        <v>2.67</v>
      </c>
      <c r="AR53">
        <v>3.9</v>
      </c>
      <c r="AS53">
        <v>5.8002530233182901</v>
      </c>
      <c r="AT53">
        <v>9.5594821349709296</v>
      </c>
      <c r="AU53">
        <v>19.894851134629299</v>
      </c>
      <c r="AV53">
        <v>20.3336148143541</v>
      </c>
      <c r="AW53">
        <v>20.7923067055542</v>
      </c>
      <c r="AX53">
        <v>22.07</v>
      </c>
      <c r="AY53">
        <v>25.100000380000001</v>
      </c>
      <c r="AZ53">
        <v>28.399999619999999</v>
      </c>
      <c r="BA53">
        <v>32.29</v>
      </c>
      <c r="BB53">
        <v>34.33</v>
      </c>
      <c r="BC53">
        <v>36.5</v>
      </c>
      <c r="BD53">
        <v>39.212195996184199</v>
      </c>
      <c r="BE53">
        <v>47.5</v>
      </c>
      <c r="BF53">
        <v>45.96</v>
      </c>
      <c r="BG53">
        <v>53</v>
      </c>
      <c r="BH53">
        <v>59.762950137168097</v>
      </c>
      <c r="BI53">
        <v>65.880449194271804</v>
      </c>
      <c r="BJ53">
        <v>71.581664619502206</v>
      </c>
      <c r="BK53">
        <v>73.479728436990598</v>
      </c>
      <c r="BL53">
        <v>81.2025964435269</v>
      </c>
      <c r="BM53">
        <v>80.530186080000007</v>
      </c>
      <c r="BN53">
        <v>82.749016069999996</v>
      </c>
      <c r="BO53">
        <v>82.598011209999996</v>
      </c>
      <c r="BP53">
        <v>85.395147989999998</v>
      </c>
      <c r="BQ53">
        <v>87.170196529999998</v>
      </c>
    </row>
    <row r="54" spans="1:69">
      <c r="A54" t="s">
        <v>173</v>
      </c>
      <c r="B54" t="s">
        <v>174</v>
      </c>
      <c r="C54" t="s">
        <v>75</v>
      </c>
      <c r="D54" t="s">
        <v>76</v>
      </c>
    </row>
    <row r="55" spans="1:69">
      <c r="A55" t="s">
        <v>175</v>
      </c>
      <c r="B55" t="s">
        <v>176</v>
      </c>
      <c r="C55" t="s">
        <v>75</v>
      </c>
      <c r="D55" t="s">
        <v>76</v>
      </c>
      <c r="AI55">
        <v>0</v>
      </c>
      <c r="AN55">
        <v>9.1699999999999993E-5</v>
      </c>
      <c r="AO55">
        <v>3.1899999999999998E-2</v>
      </c>
      <c r="AP55">
        <v>6.8199999999999997E-2</v>
      </c>
      <c r="AQ55">
        <v>0.22699999999999998</v>
      </c>
      <c r="AR55">
        <v>0.315</v>
      </c>
      <c r="AS55">
        <v>0.54118254881105798</v>
      </c>
      <c r="AT55">
        <v>1.07975172188907</v>
      </c>
      <c r="AU55">
        <v>3.77058503769014</v>
      </c>
      <c r="AV55">
        <v>5.2412690536928999</v>
      </c>
      <c r="AW55">
        <v>8.4079847590070305</v>
      </c>
      <c r="AX55">
        <v>9.73806220781346</v>
      </c>
      <c r="AY55">
        <v>11.1596013147617</v>
      </c>
      <c r="AZ55">
        <v>11.69</v>
      </c>
      <c r="BA55">
        <v>12.94</v>
      </c>
      <c r="BB55">
        <v>14.33</v>
      </c>
      <c r="BC55">
        <v>15.9</v>
      </c>
      <c r="BD55">
        <v>16.017290799641302</v>
      </c>
      <c r="BE55">
        <v>21.200000760000002</v>
      </c>
      <c r="BF55">
        <v>27.93</v>
      </c>
      <c r="BG55">
        <v>29.070184365652299</v>
      </c>
      <c r="BH55">
        <v>37.305097415537297</v>
      </c>
      <c r="BI55">
        <v>42.978675191010602</v>
      </c>
      <c r="BJ55">
        <v>57.1484043170788</v>
      </c>
      <c r="BK55">
        <v>62.678923623060101</v>
      </c>
      <c r="BL55">
        <v>67.970808656515203</v>
      </c>
      <c r="BM55">
        <v>71.119075069999994</v>
      </c>
      <c r="BN55">
        <v>67.643548690000003</v>
      </c>
      <c r="BO55">
        <v>67.884101869999995</v>
      </c>
      <c r="BP55">
        <v>69.555801389999999</v>
      </c>
      <c r="BQ55">
        <v>70.47699738</v>
      </c>
    </row>
    <row r="56" spans="1:69">
      <c r="A56" t="s">
        <v>177</v>
      </c>
      <c r="B56" t="s">
        <v>178</v>
      </c>
      <c r="C56" t="s">
        <v>75</v>
      </c>
      <c r="D56" t="s">
        <v>76</v>
      </c>
      <c r="BI56">
        <v>61.855510740634003</v>
      </c>
      <c r="BJ56">
        <v>68.127216251133902</v>
      </c>
    </row>
    <row r="57" spans="1:69">
      <c r="A57" t="s">
        <v>179</v>
      </c>
      <c r="B57" t="s">
        <v>180</v>
      </c>
      <c r="C57" t="s">
        <v>75</v>
      </c>
      <c r="D57" t="s">
        <v>76</v>
      </c>
      <c r="AI57">
        <v>0</v>
      </c>
      <c r="AL57">
        <v>0</v>
      </c>
      <c r="AM57">
        <v>0</v>
      </c>
      <c r="AN57">
        <v>3.95</v>
      </c>
      <c r="AX57">
        <v>38.034383082306398</v>
      </c>
      <c r="AY57">
        <v>44.5</v>
      </c>
      <c r="AZ57">
        <v>52</v>
      </c>
      <c r="BA57">
        <v>61</v>
      </c>
      <c r="BB57">
        <v>64.5</v>
      </c>
      <c r="BC57">
        <v>66</v>
      </c>
      <c r="BD57">
        <v>69.465944989999997</v>
      </c>
      <c r="BE57">
        <v>69.7</v>
      </c>
      <c r="BF57">
        <v>71.400000000000006</v>
      </c>
      <c r="BG57">
        <v>74.099999999999994</v>
      </c>
      <c r="BH57">
        <v>77</v>
      </c>
      <c r="BI57">
        <v>79</v>
      </c>
      <c r="BJ57">
        <v>81.067693250816106</v>
      </c>
    </row>
    <row r="58" spans="1:69">
      <c r="A58" t="s">
        <v>181</v>
      </c>
      <c r="B58" t="s">
        <v>182</v>
      </c>
      <c r="C58" t="s">
        <v>75</v>
      </c>
      <c r="D58" t="s">
        <v>76</v>
      </c>
      <c r="AI58">
        <v>0</v>
      </c>
      <c r="AK58">
        <v>5.0100000000000006E-2</v>
      </c>
      <c r="AL58">
        <v>5.6400000000000006E-2</v>
      </c>
      <c r="AM58">
        <v>0.11100000000000002</v>
      </c>
      <c r="AN58">
        <v>0.41</v>
      </c>
      <c r="AO58">
        <v>0.67300000000000004</v>
      </c>
      <c r="AP58">
        <v>4.38</v>
      </c>
      <c r="AQ58">
        <v>8.89</v>
      </c>
      <c r="AR58">
        <v>11.3</v>
      </c>
      <c r="AS58">
        <v>15.255394371013701</v>
      </c>
      <c r="AT58">
        <v>18.818759040845499</v>
      </c>
      <c r="AU58">
        <v>28.32</v>
      </c>
      <c r="AV58">
        <v>30.09</v>
      </c>
      <c r="AW58">
        <v>33.83</v>
      </c>
      <c r="AX58">
        <v>32.81</v>
      </c>
      <c r="AY58">
        <v>35.83</v>
      </c>
      <c r="AZ58">
        <v>40.770000000000003</v>
      </c>
      <c r="BA58">
        <v>42.31</v>
      </c>
      <c r="BB58">
        <v>49.81</v>
      </c>
      <c r="BC58">
        <v>52.99</v>
      </c>
      <c r="BD58">
        <v>56.859892350350698</v>
      </c>
      <c r="BE58">
        <v>60.689868400190299</v>
      </c>
      <c r="BF58">
        <v>65.454800000000006</v>
      </c>
      <c r="BG58">
        <v>69.3286967086473</v>
      </c>
      <c r="BH58">
        <v>71.715740917517095</v>
      </c>
      <c r="BI58">
        <v>75.900205403012507</v>
      </c>
      <c r="BJ58">
        <v>80.743188971932</v>
      </c>
      <c r="BK58">
        <v>84.433582518688894</v>
      </c>
      <c r="BL58">
        <v>86.063629961893497</v>
      </c>
      <c r="BM58">
        <v>90.801946439999995</v>
      </c>
      <c r="BN58">
        <v>90.759515640000004</v>
      </c>
      <c r="BO58">
        <v>89.60099194</v>
      </c>
      <c r="BP58">
        <v>91.221103569999997</v>
      </c>
      <c r="BQ58">
        <v>89.600992460000001</v>
      </c>
    </row>
    <row r="59" spans="1:69">
      <c r="A59" t="s">
        <v>183</v>
      </c>
      <c r="B59" t="s">
        <v>184</v>
      </c>
      <c r="C59" t="s">
        <v>75</v>
      </c>
      <c r="D59" t="s">
        <v>76</v>
      </c>
      <c r="AI59">
        <v>0</v>
      </c>
      <c r="AL59">
        <v>0.58099999999999996</v>
      </c>
      <c r="AM59">
        <v>1.26</v>
      </c>
      <c r="AN59">
        <v>1.45</v>
      </c>
      <c r="AO59">
        <v>1.94</v>
      </c>
      <c r="AP59">
        <v>2.92</v>
      </c>
      <c r="AQ59">
        <v>3.9</v>
      </c>
      <c r="AR59">
        <v>6.83</v>
      </c>
      <c r="AS59">
        <v>9.7805278883439293</v>
      </c>
      <c r="AT59">
        <v>14.697172117112901</v>
      </c>
      <c r="AU59">
        <v>23.93</v>
      </c>
      <c r="AV59">
        <v>34.299999999999997</v>
      </c>
      <c r="AW59">
        <v>35.5</v>
      </c>
      <c r="AX59">
        <v>35.270000000000003</v>
      </c>
      <c r="AY59">
        <v>47.93</v>
      </c>
      <c r="AZ59">
        <v>51.93</v>
      </c>
      <c r="BA59">
        <v>62.97</v>
      </c>
      <c r="BB59">
        <v>64.430000000000007</v>
      </c>
      <c r="BC59">
        <v>68.819999999999993</v>
      </c>
      <c r="BD59">
        <v>70.489999999999995</v>
      </c>
      <c r="BE59">
        <v>73.430007824103598</v>
      </c>
      <c r="BF59">
        <v>74.110399999999998</v>
      </c>
      <c r="BG59">
        <v>74.231711636738297</v>
      </c>
      <c r="BH59">
        <v>75.668838699278993</v>
      </c>
      <c r="BI59">
        <v>76.481198695183807</v>
      </c>
      <c r="BJ59">
        <v>78.719172851343203</v>
      </c>
      <c r="BK59">
        <v>80.688167543428804</v>
      </c>
      <c r="BL59">
        <v>80.866944413962202</v>
      </c>
      <c r="BM59">
        <v>81.33889705</v>
      </c>
      <c r="BN59">
        <v>82.670624270000005</v>
      </c>
      <c r="BO59">
        <v>84.540093780000007</v>
      </c>
      <c r="BP59">
        <v>85.994048179999993</v>
      </c>
      <c r="BQ59">
        <v>87.687760139999995</v>
      </c>
    </row>
    <row r="60" spans="1:69">
      <c r="A60" t="s">
        <v>185</v>
      </c>
      <c r="B60" t="s">
        <v>186</v>
      </c>
      <c r="C60" t="s">
        <v>75</v>
      </c>
      <c r="D60" t="s">
        <v>76</v>
      </c>
      <c r="AI60">
        <v>0.126</v>
      </c>
      <c r="AJ60">
        <v>0.25</v>
      </c>
      <c r="AK60">
        <v>0.435</v>
      </c>
      <c r="AL60">
        <v>0.46400000000000002</v>
      </c>
      <c r="AM60">
        <v>0.92300000000000004</v>
      </c>
      <c r="AN60">
        <v>1.84</v>
      </c>
      <c r="AO60">
        <v>3.05</v>
      </c>
      <c r="AP60">
        <v>6.71</v>
      </c>
      <c r="AQ60">
        <v>9.8800000000000008</v>
      </c>
      <c r="AR60">
        <v>20.8</v>
      </c>
      <c r="AS60">
        <v>30.216346604888901</v>
      </c>
      <c r="AT60">
        <v>31.650939416316</v>
      </c>
      <c r="AU60">
        <v>48.82</v>
      </c>
      <c r="AV60">
        <v>55.9</v>
      </c>
      <c r="AW60">
        <v>64.73</v>
      </c>
      <c r="AX60">
        <v>68.709999999999994</v>
      </c>
      <c r="AY60">
        <v>72.16</v>
      </c>
      <c r="AZ60">
        <v>75.16</v>
      </c>
      <c r="BA60">
        <v>78</v>
      </c>
      <c r="BB60">
        <v>79</v>
      </c>
      <c r="BC60">
        <v>82</v>
      </c>
      <c r="BD60">
        <v>81.269999536019995</v>
      </c>
      <c r="BE60">
        <v>82.349998473839193</v>
      </c>
      <c r="BF60">
        <v>84.17</v>
      </c>
      <c r="BG60">
        <v>86.193700657875596</v>
      </c>
      <c r="BH60">
        <v>87.589799352576705</v>
      </c>
      <c r="BI60">
        <v>84.165206644121199</v>
      </c>
      <c r="BJ60">
        <v>84.394153701084406</v>
      </c>
      <c r="BK60">
        <v>87.037112092840999</v>
      </c>
      <c r="BL60">
        <v>88.134516909191603</v>
      </c>
      <c r="BM60">
        <v>89.812941330000001</v>
      </c>
      <c r="BN60">
        <v>91.43060973</v>
      </c>
      <c r="BO60">
        <v>91.629843829999999</v>
      </c>
      <c r="BP60">
        <v>92.476376299999998</v>
      </c>
      <c r="BQ60">
        <v>93.49999579</v>
      </c>
    </row>
    <row r="61" spans="1:69">
      <c r="A61" t="s">
        <v>187</v>
      </c>
      <c r="B61" t="s">
        <v>188</v>
      </c>
      <c r="C61" t="s">
        <v>75</v>
      </c>
      <c r="D61" t="s">
        <v>76</v>
      </c>
      <c r="AI61">
        <v>0</v>
      </c>
      <c r="AN61">
        <v>1.6E-2</v>
      </c>
      <c r="AO61">
        <v>3.1199999999999999E-2</v>
      </c>
      <c r="AP61">
        <v>8.2900000000000001E-2</v>
      </c>
      <c r="AQ61">
        <v>9.4700000000000006E-2</v>
      </c>
      <c r="AR61">
        <v>0.106</v>
      </c>
      <c r="AS61">
        <v>0.19450052839995599</v>
      </c>
      <c r="AT61">
        <v>0.34352626296420202</v>
      </c>
      <c r="AU61">
        <v>0.48697170451894001</v>
      </c>
      <c r="AV61">
        <v>0.62594022939988803</v>
      </c>
      <c r="AW61">
        <v>0.78131717506866105</v>
      </c>
      <c r="AX61">
        <v>0.95359998899999998</v>
      </c>
      <c r="AY61">
        <v>1.269999981</v>
      </c>
      <c r="AZ61">
        <v>1.62</v>
      </c>
      <c r="BA61">
        <v>2.2599999999999998</v>
      </c>
      <c r="BB61">
        <v>4</v>
      </c>
      <c r="BC61">
        <v>6.5</v>
      </c>
      <c r="BD61">
        <v>7</v>
      </c>
      <c r="BE61">
        <v>9.3999996190000008</v>
      </c>
      <c r="BF61">
        <v>12.69999981</v>
      </c>
      <c r="BG61">
        <v>17</v>
      </c>
      <c r="BH61">
        <v>22.899999619999999</v>
      </c>
      <c r="BI61">
        <v>30.799999240000002</v>
      </c>
      <c r="BJ61">
        <v>55.681409245396203</v>
      </c>
      <c r="BK61">
        <v>57.061698909999997</v>
      </c>
      <c r="BL61">
        <v>58.4762001</v>
      </c>
      <c r="BM61">
        <v>59.925701140000001</v>
      </c>
      <c r="BN61">
        <v>61.411201480000003</v>
      </c>
      <c r="BO61">
        <v>63.776000979999999</v>
      </c>
      <c r="BP61">
        <v>64.758697510000005</v>
      </c>
      <c r="BQ61">
        <v>65.298896790000001</v>
      </c>
    </row>
    <row r="62" spans="1:69">
      <c r="A62" t="s">
        <v>189</v>
      </c>
      <c r="B62" t="s">
        <v>190</v>
      </c>
      <c r="C62" t="s">
        <v>75</v>
      </c>
      <c r="D62" t="s">
        <v>76</v>
      </c>
      <c r="AI62">
        <v>0</v>
      </c>
      <c r="AN62">
        <v>0.54900000000000004</v>
      </c>
      <c r="AO62">
        <v>1.17</v>
      </c>
      <c r="AQ62">
        <v>2.93</v>
      </c>
      <c r="AR62">
        <v>2.93</v>
      </c>
      <c r="AS62">
        <v>8.8148441976288101</v>
      </c>
      <c r="AT62">
        <v>13.2452280386761</v>
      </c>
      <c r="AU62">
        <v>18.424892767124099</v>
      </c>
      <c r="AV62">
        <v>23.6204198529629</v>
      </c>
      <c r="AW62">
        <v>30.3196130921568</v>
      </c>
      <c r="AX62">
        <v>38.543598179999996</v>
      </c>
      <c r="AY62">
        <v>39.398200989999999</v>
      </c>
      <c r="AZ62">
        <v>40.274501800000003</v>
      </c>
      <c r="BA62">
        <v>41.159999849999998</v>
      </c>
      <c r="BB62">
        <v>42.020000459999999</v>
      </c>
      <c r="BC62">
        <v>47.45</v>
      </c>
      <c r="BD62">
        <v>48.599998470000003</v>
      </c>
      <c r="BE62">
        <v>49.799999239999998</v>
      </c>
      <c r="BF62">
        <v>51</v>
      </c>
      <c r="BG62">
        <v>57.5</v>
      </c>
      <c r="BH62">
        <v>65</v>
      </c>
      <c r="BI62">
        <v>67.02999878</v>
      </c>
      <c r="BJ62">
        <v>69.61969757</v>
      </c>
      <c r="BL62">
        <v>73.382003780000005</v>
      </c>
      <c r="BM62">
        <v>75.656700130000004</v>
      </c>
      <c r="BN62">
        <v>78.079498290000004</v>
      </c>
      <c r="BO62">
        <v>80.579803470000002</v>
      </c>
      <c r="BP62">
        <v>81.336502080000002</v>
      </c>
      <c r="BQ62">
        <v>82.046897889999997</v>
      </c>
    </row>
    <row r="63" spans="1:69">
      <c r="A63" t="s">
        <v>191</v>
      </c>
      <c r="B63" t="s">
        <v>192</v>
      </c>
      <c r="C63" t="s">
        <v>75</v>
      </c>
      <c r="D63" t="s">
        <v>76</v>
      </c>
      <c r="AI63">
        <v>9.7299999999999998E-2</v>
      </c>
      <c r="AJ63">
        <v>0.19400000000000001</v>
      </c>
      <c r="AK63">
        <v>0.38700000000000001</v>
      </c>
      <c r="AL63">
        <v>0.57800000000000007</v>
      </c>
      <c r="AM63">
        <v>1.34</v>
      </c>
      <c r="AN63">
        <v>3.83</v>
      </c>
      <c r="AO63">
        <v>5.71</v>
      </c>
      <c r="AP63">
        <v>11.4</v>
      </c>
      <c r="AQ63">
        <v>22.7</v>
      </c>
      <c r="AR63">
        <v>30.6</v>
      </c>
      <c r="AS63">
        <v>39.172430855505297</v>
      </c>
      <c r="AT63">
        <v>42.957524720187799</v>
      </c>
      <c r="AU63">
        <v>64.25</v>
      </c>
      <c r="AV63">
        <v>76.260000000000005</v>
      </c>
      <c r="AW63">
        <v>80.930000000000007</v>
      </c>
      <c r="AX63">
        <v>82.74</v>
      </c>
      <c r="AY63">
        <v>86.65</v>
      </c>
      <c r="AZ63">
        <v>85.03</v>
      </c>
      <c r="BA63">
        <v>85.02</v>
      </c>
      <c r="BB63">
        <v>86.84</v>
      </c>
      <c r="BC63">
        <v>88.72</v>
      </c>
      <c r="BD63">
        <v>89.810013389523206</v>
      </c>
      <c r="BE63">
        <v>92.260011715301204</v>
      </c>
      <c r="BF63">
        <v>94.6297</v>
      </c>
      <c r="BG63">
        <v>95.993505376445398</v>
      </c>
      <c r="BH63">
        <v>96.330501619543597</v>
      </c>
      <c r="BI63">
        <v>96.967785251664495</v>
      </c>
      <c r="BJ63">
        <v>97.099362155562105</v>
      </c>
      <c r="BK63">
        <v>97.319204365100205</v>
      </c>
      <c r="BL63">
        <v>98.046434752154894</v>
      </c>
      <c r="BM63">
        <v>96.549145730000006</v>
      </c>
      <c r="BN63">
        <v>98.865850600000002</v>
      </c>
      <c r="BO63">
        <v>97.860118119999996</v>
      </c>
      <c r="BP63">
        <v>98.775591969999994</v>
      </c>
      <c r="BQ63">
        <v>99.769151570000005</v>
      </c>
    </row>
    <row r="64" spans="1:69">
      <c r="A64" t="s">
        <v>193</v>
      </c>
      <c r="B64" t="s">
        <v>194</v>
      </c>
      <c r="C64" t="s">
        <v>75</v>
      </c>
      <c r="D64" t="s">
        <v>76</v>
      </c>
      <c r="AI64">
        <v>0</v>
      </c>
      <c r="AN64">
        <v>1.72E-2</v>
      </c>
      <c r="AO64">
        <v>7.4999999999999997E-2</v>
      </c>
      <c r="AP64">
        <v>0.14300000000000002</v>
      </c>
      <c r="AQ64">
        <v>0.23400000000000001</v>
      </c>
      <c r="AR64">
        <v>1.1000000000000001</v>
      </c>
      <c r="AS64">
        <v>3.7046923558768801</v>
      </c>
      <c r="AT64">
        <v>4.4293906966664496</v>
      </c>
      <c r="AU64">
        <v>6.8237257325842</v>
      </c>
      <c r="AV64">
        <v>7.8983929371638704</v>
      </c>
      <c r="AW64">
        <v>8.8655534607043993</v>
      </c>
      <c r="AX64">
        <v>11.4831977789344</v>
      </c>
      <c r="AY64">
        <v>14.8449283654589</v>
      </c>
      <c r="AZ64">
        <v>17.66</v>
      </c>
      <c r="BA64">
        <v>20.82</v>
      </c>
      <c r="BB64">
        <v>27.72</v>
      </c>
      <c r="BC64">
        <v>31.399999619999999</v>
      </c>
      <c r="BD64">
        <v>38</v>
      </c>
      <c r="BE64">
        <v>42.32</v>
      </c>
      <c r="BF64">
        <v>45.9</v>
      </c>
      <c r="BG64">
        <v>49.58000183</v>
      </c>
      <c r="BH64">
        <v>54.215766336978497</v>
      </c>
      <c r="BI64">
        <v>63.870864740820601</v>
      </c>
      <c r="BJ64">
        <v>67.571245327773696</v>
      </c>
      <c r="BK64">
        <v>74.822048359728399</v>
      </c>
      <c r="BL64">
        <v>79.715499879999996</v>
      </c>
      <c r="BM64">
        <v>81.617301940000004</v>
      </c>
      <c r="BN64">
        <v>85.242986380000005</v>
      </c>
      <c r="BO64">
        <v>81.512696750000003</v>
      </c>
      <c r="BP64">
        <v>86.126899719999997</v>
      </c>
      <c r="BQ64">
        <v>91.002244599999997</v>
      </c>
    </row>
    <row r="65" spans="1:70">
      <c r="A65" t="s">
        <v>195</v>
      </c>
      <c r="B65" t="s">
        <v>196</v>
      </c>
      <c r="C65" t="s">
        <v>75</v>
      </c>
      <c r="D65" t="s">
        <v>76</v>
      </c>
      <c r="AI65">
        <v>0</v>
      </c>
      <c r="AM65">
        <v>3.6099999999999999E-4</v>
      </c>
      <c r="AN65">
        <v>1.7700000000000001E-3</v>
      </c>
      <c r="AO65">
        <v>1.74E-3</v>
      </c>
      <c r="AP65">
        <v>1.03E-2</v>
      </c>
      <c r="AQ65">
        <v>2.0199999999999999E-2</v>
      </c>
      <c r="AR65">
        <v>0.2</v>
      </c>
      <c r="AS65">
        <v>0.49170567914158902</v>
      </c>
      <c r="AT65">
        <v>0.64611401670379198</v>
      </c>
      <c r="AU65">
        <v>1.5916412603583201</v>
      </c>
      <c r="AV65">
        <v>2.1953597308614401</v>
      </c>
      <c r="AW65">
        <v>4.6344750877653702</v>
      </c>
      <c r="AX65">
        <v>5.8439002039999997</v>
      </c>
      <c r="AY65">
        <v>7.3759849563488604</v>
      </c>
      <c r="AZ65">
        <v>9.4511906255530391</v>
      </c>
      <c r="BA65">
        <v>10.18</v>
      </c>
      <c r="BB65">
        <v>11.23</v>
      </c>
      <c r="BC65">
        <v>12.5</v>
      </c>
      <c r="BD65">
        <v>14.899999620000001</v>
      </c>
      <c r="BE65">
        <v>18.200000760000002</v>
      </c>
      <c r="BF65">
        <v>22.5</v>
      </c>
      <c r="BG65">
        <v>29.5</v>
      </c>
      <c r="BH65">
        <v>38.200000760000002</v>
      </c>
      <c r="BI65">
        <v>42.945499419999997</v>
      </c>
      <c r="BJ65">
        <v>47.691101070000002</v>
      </c>
      <c r="BK65">
        <v>49.038468079327103</v>
      </c>
      <c r="BL65">
        <v>55.790699009999997</v>
      </c>
      <c r="BM65">
        <v>63.472698209999997</v>
      </c>
      <c r="BN65">
        <v>72.212402339999997</v>
      </c>
      <c r="BO65">
        <v>74.781501770000006</v>
      </c>
      <c r="BP65">
        <v>76.197601320000004</v>
      </c>
      <c r="BQ65">
        <v>77.417800900000003</v>
      </c>
    </row>
    <row r="66" spans="1:70">
      <c r="A66" t="s">
        <v>197</v>
      </c>
      <c r="B66" t="s">
        <v>198</v>
      </c>
      <c r="C66" t="s">
        <v>75</v>
      </c>
      <c r="D66" t="s">
        <v>76</v>
      </c>
      <c r="AX66">
        <v>8.3000000000000007</v>
      </c>
      <c r="AY66">
        <v>10.1</v>
      </c>
      <c r="AZ66">
        <v>14.3</v>
      </c>
      <c r="BA66">
        <v>19.2</v>
      </c>
      <c r="BB66">
        <v>23.7</v>
      </c>
      <c r="BC66">
        <v>28.9</v>
      </c>
      <c r="BD66">
        <v>32.299999999999997</v>
      </c>
      <c r="BE66">
        <v>35.700000000000003</v>
      </c>
      <c r="BF66">
        <v>38.200000000000003</v>
      </c>
      <c r="BG66">
        <v>40.6</v>
      </c>
      <c r="BH66">
        <v>43.5</v>
      </c>
      <c r="BI66">
        <v>49.6</v>
      </c>
      <c r="BJ66">
        <v>53.9</v>
      </c>
      <c r="BK66">
        <v>59.1</v>
      </c>
      <c r="BL66">
        <v>64</v>
      </c>
      <c r="BM66">
        <v>72.2</v>
      </c>
      <c r="BN66">
        <v>77.599999999999994</v>
      </c>
      <c r="BO66">
        <v>81.599999999999994</v>
      </c>
      <c r="BP66">
        <v>84.2</v>
      </c>
      <c r="BQ66">
        <v>86.1</v>
      </c>
      <c r="BR66">
        <v>88.1</v>
      </c>
    </row>
    <row r="67" spans="1:70">
      <c r="A67" t="s">
        <v>199</v>
      </c>
      <c r="B67" t="s">
        <v>200</v>
      </c>
      <c r="C67" t="s">
        <v>75</v>
      </c>
      <c r="D67" t="s">
        <v>76</v>
      </c>
    </row>
    <row r="68" spans="1:70">
      <c r="A68" t="s">
        <v>201</v>
      </c>
      <c r="B68" t="s">
        <v>202</v>
      </c>
      <c r="C68" t="s">
        <v>75</v>
      </c>
      <c r="D68" t="s">
        <v>76</v>
      </c>
      <c r="AX68">
        <v>14.7</v>
      </c>
      <c r="AY68">
        <v>16.600000000000001</v>
      </c>
      <c r="AZ68">
        <v>20.8</v>
      </c>
      <c r="BA68">
        <v>25.2</v>
      </c>
      <c r="BB68">
        <v>29.5</v>
      </c>
      <c r="BC68">
        <v>34.200000000000003</v>
      </c>
      <c r="BD68">
        <v>37.299999999999997</v>
      </c>
      <c r="BE68">
        <v>40.4</v>
      </c>
      <c r="BF68">
        <v>43.2</v>
      </c>
      <c r="BG68">
        <v>45.5</v>
      </c>
      <c r="BH68">
        <v>48.3</v>
      </c>
      <c r="BI68">
        <v>53.9</v>
      </c>
      <c r="BJ68">
        <v>57.8</v>
      </c>
      <c r="BK68">
        <v>62.5</v>
      </c>
      <c r="BL68">
        <v>67.099999999999994</v>
      </c>
      <c r="BM68">
        <v>73.900000000000006</v>
      </c>
      <c r="BN68">
        <v>78.8</v>
      </c>
      <c r="BO68">
        <v>82.4</v>
      </c>
      <c r="BP68">
        <v>84.9</v>
      </c>
      <c r="BQ68">
        <v>86.6</v>
      </c>
      <c r="BR68">
        <v>88.4</v>
      </c>
    </row>
    <row r="69" spans="1:70">
      <c r="A69" t="s">
        <v>203</v>
      </c>
      <c r="B69" t="s">
        <v>204</v>
      </c>
      <c r="C69" t="s">
        <v>75</v>
      </c>
      <c r="D69" t="s">
        <v>76</v>
      </c>
      <c r="AX69">
        <v>8.9</v>
      </c>
      <c r="AY69">
        <v>11.6</v>
      </c>
      <c r="AZ69">
        <v>16.3</v>
      </c>
      <c r="BA69">
        <v>20.6</v>
      </c>
      <c r="BB69">
        <v>25</v>
      </c>
      <c r="BC69">
        <v>30.1</v>
      </c>
      <c r="BD69">
        <v>34.9</v>
      </c>
      <c r="BE69">
        <v>39.4</v>
      </c>
      <c r="BF69">
        <v>43.2</v>
      </c>
      <c r="BG69">
        <v>48.6</v>
      </c>
      <c r="BH69">
        <v>51.9</v>
      </c>
      <c r="BI69">
        <v>56.2</v>
      </c>
      <c r="BJ69">
        <v>60.6</v>
      </c>
      <c r="BK69">
        <v>65.8</v>
      </c>
      <c r="BL69">
        <v>70.3</v>
      </c>
      <c r="BM69">
        <v>74.5</v>
      </c>
      <c r="BN69">
        <v>79.099999999999994</v>
      </c>
      <c r="BO69">
        <v>82</v>
      </c>
      <c r="BP69">
        <v>84.6</v>
      </c>
      <c r="BQ69">
        <v>85.8</v>
      </c>
      <c r="BR69">
        <v>87.5</v>
      </c>
    </row>
    <row r="70" spans="1:70">
      <c r="A70" t="s">
        <v>205</v>
      </c>
      <c r="B70" t="s">
        <v>206</v>
      </c>
      <c r="C70" t="s">
        <v>75</v>
      </c>
      <c r="D70" t="s">
        <v>76</v>
      </c>
      <c r="AX70">
        <v>34.700000000000003</v>
      </c>
      <c r="AY70">
        <v>38</v>
      </c>
      <c r="AZ70">
        <v>43.6</v>
      </c>
      <c r="BA70">
        <v>48.1</v>
      </c>
      <c r="BB70">
        <v>52.7</v>
      </c>
      <c r="BC70">
        <v>57</v>
      </c>
      <c r="BD70">
        <v>60.2</v>
      </c>
      <c r="BE70">
        <v>63.8</v>
      </c>
      <c r="BF70">
        <v>66.099999999999994</v>
      </c>
      <c r="BG70">
        <v>68.900000000000006</v>
      </c>
      <c r="BH70">
        <v>69.900000000000006</v>
      </c>
      <c r="BI70">
        <v>72.3</v>
      </c>
      <c r="BJ70">
        <v>74.5</v>
      </c>
      <c r="BK70">
        <v>78.099999999999994</v>
      </c>
      <c r="BL70">
        <v>80.3</v>
      </c>
      <c r="BM70">
        <v>83.4</v>
      </c>
      <c r="BN70">
        <v>86.3</v>
      </c>
      <c r="BO70">
        <v>87.9</v>
      </c>
      <c r="BP70">
        <v>89.6</v>
      </c>
      <c r="BQ70">
        <v>90.9</v>
      </c>
      <c r="BR70">
        <v>92.4</v>
      </c>
    </row>
    <row r="71" spans="1:70">
      <c r="A71" t="s">
        <v>207</v>
      </c>
      <c r="B71" t="s">
        <v>208</v>
      </c>
      <c r="C71" t="s">
        <v>75</v>
      </c>
      <c r="D71" t="s">
        <v>76</v>
      </c>
      <c r="AI71">
        <v>0</v>
      </c>
      <c r="AK71">
        <v>5.1199999999999996E-3</v>
      </c>
      <c r="AL71">
        <v>1.6400000000000001E-2</v>
      </c>
      <c r="AM71">
        <v>3.4799999999999998E-2</v>
      </c>
      <c r="AN71">
        <v>4.3800000000000006E-2</v>
      </c>
      <c r="AO71">
        <v>8.6199999999999999E-2</v>
      </c>
      <c r="AP71">
        <v>0.11</v>
      </c>
      <c r="AQ71">
        <v>0.125</v>
      </c>
      <c r="AR71">
        <v>0.82299999999999995</v>
      </c>
      <c r="AS71">
        <v>1.4621885355645701</v>
      </c>
      <c r="AT71">
        <v>2.6704436737670498</v>
      </c>
      <c r="AU71">
        <v>4.2607969151976404</v>
      </c>
      <c r="AV71">
        <v>4.4602283447269802</v>
      </c>
      <c r="AW71">
        <v>4.8344426375952496</v>
      </c>
      <c r="AX71">
        <v>5.9942998889999997</v>
      </c>
      <c r="AY71">
        <v>7.1999998090000004</v>
      </c>
      <c r="AZ71">
        <v>10.80000019</v>
      </c>
      <c r="BA71">
        <v>18.8</v>
      </c>
      <c r="BB71">
        <v>24.6</v>
      </c>
      <c r="BC71">
        <v>29.03</v>
      </c>
      <c r="BD71">
        <v>31.366808358743299</v>
      </c>
      <c r="BE71">
        <v>35.135146454551602</v>
      </c>
      <c r="BF71">
        <v>40.279121941</v>
      </c>
      <c r="BG71">
        <v>45.590390666609501</v>
      </c>
      <c r="BH71">
        <v>48.940433789266898</v>
      </c>
      <c r="BI71">
        <v>54.062924728886401</v>
      </c>
      <c r="BJ71">
        <v>55.799999239999998</v>
      </c>
      <c r="BK71">
        <v>57.5</v>
      </c>
      <c r="BL71">
        <v>59.2</v>
      </c>
      <c r="BM71">
        <v>70.7</v>
      </c>
      <c r="BN71">
        <v>69.114799500000004</v>
      </c>
      <c r="BO71">
        <v>69.718113560000006</v>
      </c>
      <c r="BP71">
        <v>72.694314599999998</v>
      </c>
      <c r="BQ71">
        <v>77.172731150000004</v>
      </c>
    </row>
    <row r="72" spans="1:70">
      <c r="A72" t="s">
        <v>209</v>
      </c>
      <c r="B72" t="s">
        <v>210</v>
      </c>
      <c r="C72" t="s">
        <v>75</v>
      </c>
      <c r="D72" t="s">
        <v>76</v>
      </c>
      <c r="AI72">
        <v>0</v>
      </c>
      <c r="AL72">
        <v>9.7599999999999998E-4</v>
      </c>
      <c r="AM72">
        <v>6.3800000000000003E-3</v>
      </c>
      <c r="AN72">
        <v>3.1300000000000001E-2</v>
      </c>
      <c r="AO72">
        <v>6.1499999999999999E-2</v>
      </c>
      <c r="AP72">
        <v>9.0499999999999997E-2</v>
      </c>
      <c r="AQ72">
        <v>0.14799999999999999</v>
      </c>
      <c r="AR72">
        <v>0.28999999999999998</v>
      </c>
      <c r="AS72">
        <v>0.64126503750481301</v>
      </c>
      <c r="AT72">
        <v>0.83894561147760405</v>
      </c>
      <c r="AU72">
        <v>2.7199997146542101</v>
      </c>
      <c r="AV72">
        <v>4.0378851070670096</v>
      </c>
      <c r="AW72">
        <v>11.92</v>
      </c>
      <c r="AX72">
        <v>12.75</v>
      </c>
      <c r="AY72">
        <v>13.66</v>
      </c>
      <c r="AZ72">
        <v>16.03</v>
      </c>
      <c r="BA72">
        <v>18.010000000000002</v>
      </c>
      <c r="BB72">
        <v>20</v>
      </c>
      <c r="BC72">
        <v>21.6</v>
      </c>
      <c r="BD72">
        <v>25.6</v>
      </c>
      <c r="BE72">
        <v>26.4</v>
      </c>
      <c r="BF72">
        <v>29.4</v>
      </c>
      <c r="BG72">
        <v>33.894603911527497</v>
      </c>
      <c r="BH72">
        <v>37.8193834276939</v>
      </c>
      <c r="BI72">
        <v>41.248067088577201</v>
      </c>
      <c r="BJ72">
        <v>44.950204245285697</v>
      </c>
      <c r="BK72">
        <v>46.924336767920003</v>
      </c>
      <c r="BL72">
        <v>57.282866399019497</v>
      </c>
      <c r="BM72">
        <v>71.914200960000002</v>
      </c>
      <c r="BN72">
        <v>72.055999760000006</v>
      </c>
      <c r="BO72">
        <v>72.198065560000003</v>
      </c>
      <c r="BP72">
        <v>74.011901859999995</v>
      </c>
      <c r="BQ72">
        <v>74.648399350000005</v>
      </c>
    </row>
    <row r="73" spans="1:70">
      <c r="A73" t="s">
        <v>211</v>
      </c>
      <c r="B73" t="s">
        <v>212</v>
      </c>
      <c r="C73" t="s">
        <v>75</v>
      </c>
      <c r="D73" t="s">
        <v>76</v>
      </c>
    </row>
    <row r="74" spans="1:70">
      <c r="A74" t="s">
        <v>213</v>
      </c>
      <c r="B74" t="s">
        <v>214</v>
      </c>
      <c r="C74" t="s">
        <v>75</v>
      </c>
      <c r="D74" t="s">
        <v>76</v>
      </c>
      <c r="AI74">
        <v>0</v>
      </c>
      <c r="AL74">
        <v>0</v>
      </c>
      <c r="AM74">
        <v>0</v>
      </c>
      <c r="AN74">
        <v>0</v>
      </c>
      <c r="AO74">
        <v>0</v>
      </c>
      <c r="AP74">
        <v>9.0200000000000002E-3</v>
      </c>
      <c r="AQ74">
        <v>8.77E-3</v>
      </c>
      <c r="AR74">
        <v>2.5500000000000002E-2</v>
      </c>
      <c r="AS74">
        <v>0.136711941104496</v>
      </c>
      <c r="AT74">
        <v>0.157815289303043</v>
      </c>
      <c r="AU74">
        <v>0.22709013762671601</v>
      </c>
      <c r="AZ74">
        <v>0.40999999599999998</v>
      </c>
      <c r="BA74">
        <v>0.469999999</v>
      </c>
      <c r="BB74">
        <v>0.540000021</v>
      </c>
      <c r="BC74">
        <v>0.61000001400000003</v>
      </c>
      <c r="BD74">
        <v>0.69999998799999996</v>
      </c>
      <c r="BE74">
        <v>0.80000001200000004</v>
      </c>
      <c r="BF74">
        <v>0.89999997600000003</v>
      </c>
      <c r="BG74">
        <v>0.99000001000000004</v>
      </c>
      <c r="BH74">
        <v>1.083699942</v>
      </c>
      <c r="BI74">
        <v>1.177099943</v>
      </c>
      <c r="BJ74">
        <v>2.496099949</v>
      </c>
      <c r="BK74">
        <v>5.2930002209999998</v>
      </c>
      <c r="BL74">
        <v>11.22379971</v>
      </c>
      <c r="BM74">
        <v>14.349399569999999</v>
      </c>
    </row>
    <row r="75" spans="1:70">
      <c r="A75" t="s">
        <v>215</v>
      </c>
      <c r="B75" t="s">
        <v>216</v>
      </c>
      <c r="C75" t="s">
        <v>75</v>
      </c>
      <c r="D75" t="s">
        <v>76</v>
      </c>
      <c r="AI75">
        <v>1.2899999999999998E-2</v>
      </c>
      <c r="AJ75">
        <v>2.5700000000000001E-2</v>
      </c>
      <c r="AK75">
        <v>7.6800000000000007E-2</v>
      </c>
      <c r="AL75">
        <v>0.128</v>
      </c>
      <c r="AM75">
        <v>0.28000000000000003</v>
      </c>
      <c r="AN75">
        <v>0.38100000000000001</v>
      </c>
      <c r="AO75">
        <v>1.33</v>
      </c>
      <c r="AP75">
        <v>2.8</v>
      </c>
      <c r="AQ75">
        <v>4.3600000000000003</v>
      </c>
      <c r="AR75">
        <v>7.09</v>
      </c>
      <c r="AS75">
        <v>13.624960808989901</v>
      </c>
      <c r="AT75">
        <v>18.148722690293202</v>
      </c>
      <c r="AU75">
        <v>20.39</v>
      </c>
      <c r="AV75">
        <v>39.93</v>
      </c>
      <c r="AW75">
        <v>44.01</v>
      </c>
      <c r="AX75">
        <v>47.88</v>
      </c>
      <c r="AY75">
        <v>50.37</v>
      </c>
      <c r="AZ75">
        <v>55.11</v>
      </c>
      <c r="BA75">
        <v>59.6</v>
      </c>
      <c r="BB75">
        <v>62.4</v>
      </c>
      <c r="BC75">
        <v>65.8</v>
      </c>
      <c r="BD75">
        <v>67.0899993926581</v>
      </c>
      <c r="BE75">
        <v>69.809999942002406</v>
      </c>
      <c r="BF75">
        <v>71.635000000000005</v>
      </c>
      <c r="BG75">
        <v>76.186708977871206</v>
      </c>
      <c r="BH75">
        <v>78.689631870351505</v>
      </c>
      <c r="BI75">
        <v>80.561332943217906</v>
      </c>
      <c r="BJ75">
        <v>84.602245701652393</v>
      </c>
      <c r="BK75">
        <v>86.107235525658993</v>
      </c>
      <c r="BL75">
        <v>90.718665325266997</v>
      </c>
      <c r="BM75">
        <v>93.205648920000002</v>
      </c>
      <c r="BN75">
        <v>93.897521569999995</v>
      </c>
      <c r="BO75">
        <v>94.485543199999995</v>
      </c>
      <c r="BP75">
        <v>95.445645159999998</v>
      </c>
      <c r="BQ75">
        <v>95.757451599999996</v>
      </c>
    </row>
    <row r="76" spans="1:70">
      <c r="A76" t="s">
        <v>217</v>
      </c>
      <c r="B76" t="s">
        <v>218</v>
      </c>
      <c r="C76" t="s">
        <v>75</v>
      </c>
      <c r="D76" t="s">
        <v>76</v>
      </c>
      <c r="AI76">
        <v>0</v>
      </c>
      <c r="AK76">
        <v>6.5500000000000003E-2</v>
      </c>
      <c r="AL76">
        <v>0.30099999999999999</v>
      </c>
      <c r="AM76">
        <v>1.1599999999999999</v>
      </c>
      <c r="AN76">
        <v>2.78</v>
      </c>
      <c r="AO76">
        <v>3.53</v>
      </c>
      <c r="AP76">
        <v>5.71</v>
      </c>
      <c r="AQ76">
        <v>10.8</v>
      </c>
      <c r="AR76">
        <v>14.5</v>
      </c>
      <c r="AS76">
        <v>28.5769538105646</v>
      </c>
      <c r="AT76">
        <v>31.527489767375599</v>
      </c>
      <c r="AU76">
        <v>41.52</v>
      </c>
      <c r="AV76">
        <v>45.32</v>
      </c>
      <c r="AW76">
        <v>53.2</v>
      </c>
      <c r="AX76">
        <v>61.45</v>
      </c>
      <c r="AY76">
        <v>63.51</v>
      </c>
      <c r="AZ76">
        <v>66.19</v>
      </c>
      <c r="BA76">
        <v>70.58</v>
      </c>
      <c r="BB76">
        <v>72.5</v>
      </c>
      <c r="BC76">
        <v>74.099999999999994</v>
      </c>
      <c r="BD76">
        <v>76.5</v>
      </c>
      <c r="BE76">
        <v>78.389925925925894</v>
      </c>
      <c r="BF76">
        <v>80.004300000000001</v>
      </c>
      <c r="BG76">
        <v>84.241528029435202</v>
      </c>
      <c r="BH76">
        <v>88.409703504043094</v>
      </c>
      <c r="BI76">
        <v>87.240232751454698</v>
      </c>
      <c r="BJ76">
        <v>88.102456874019893</v>
      </c>
      <c r="BK76">
        <v>89.357007774742598</v>
      </c>
      <c r="BL76">
        <v>90.228928199791895</v>
      </c>
      <c r="BM76">
        <v>89.058286659999993</v>
      </c>
      <c r="BN76">
        <v>90.979701739999996</v>
      </c>
      <c r="BO76">
        <v>91.520165460000001</v>
      </c>
      <c r="BP76">
        <v>93.183422410000006</v>
      </c>
      <c r="BQ76">
        <v>92.237962039999999</v>
      </c>
    </row>
    <row r="77" spans="1:70">
      <c r="A77" t="s">
        <v>219</v>
      </c>
      <c r="B77" t="s">
        <v>220</v>
      </c>
      <c r="C77" t="s">
        <v>75</v>
      </c>
      <c r="D77" t="s">
        <v>76</v>
      </c>
      <c r="AI77">
        <v>0</v>
      </c>
      <c r="AN77">
        <v>1.7499999999999998E-5</v>
      </c>
      <c r="AO77">
        <v>1.6999999999999999E-3</v>
      </c>
      <c r="AP77">
        <v>4.9700000000000005E-3</v>
      </c>
      <c r="AQ77">
        <v>9.6600000000000002E-3</v>
      </c>
      <c r="AR77">
        <v>1.2500000000000001E-2</v>
      </c>
      <c r="AS77">
        <v>1.5263767208256699E-2</v>
      </c>
      <c r="AT77">
        <v>3.7162381068674401E-2</v>
      </c>
      <c r="AU77">
        <v>7.2402261869829496E-2</v>
      </c>
      <c r="AV77">
        <v>0.105811658802603</v>
      </c>
      <c r="AW77">
        <v>0.15533452079472199</v>
      </c>
      <c r="AX77">
        <v>0.21965981899950501</v>
      </c>
      <c r="AY77">
        <v>0.31059265685617599</v>
      </c>
      <c r="AZ77">
        <v>0.37</v>
      </c>
      <c r="BA77">
        <v>0.44999998800000002</v>
      </c>
      <c r="BB77">
        <v>0.540000021</v>
      </c>
      <c r="BC77">
        <v>0.75</v>
      </c>
      <c r="BD77">
        <v>1.1000000240000001</v>
      </c>
      <c r="BE77">
        <v>2.9000000950000002</v>
      </c>
      <c r="BF77">
        <v>4.5999999049999998</v>
      </c>
      <c r="BG77">
        <v>7.6999998090000004</v>
      </c>
      <c r="BH77">
        <v>13.855175555555601</v>
      </c>
      <c r="BI77">
        <v>15.366923859589599</v>
      </c>
      <c r="BJ77">
        <v>15.624400140000001</v>
      </c>
      <c r="BK77">
        <v>15.88619995</v>
      </c>
      <c r="BL77">
        <v>15.984600070000001</v>
      </c>
      <c r="BM77">
        <v>16.069599149999998</v>
      </c>
      <c r="BN77">
        <v>16.698103100000001</v>
      </c>
      <c r="BO77">
        <v>17.9836998</v>
      </c>
      <c r="BP77">
        <v>20.337499619999999</v>
      </c>
      <c r="BQ77">
        <v>21.941299440000002</v>
      </c>
    </row>
    <row r="78" spans="1:70">
      <c r="A78" t="s">
        <v>221</v>
      </c>
      <c r="B78" t="s">
        <v>222</v>
      </c>
      <c r="C78" t="s">
        <v>75</v>
      </c>
      <c r="D78" t="s">
        <v>76</v>
      </c>
    </row>
    <row r="79" spans="1:70">
      <c r="A79" t="s">
        <v>223</v>
      </c>
      <c r="B79" t="s">
        <v>224</v>
      </c>
      <c r="C79" t="s">
        <v>75</v>
      </c>
      <c r="D79" t="s">
        <v>76</v>
      </c>
    </row>
    <row r="80" spans="1:70">
      <c r="A80" t="s">
        <v>225</v>
      </c>
      <c r="B80" t="s">
        <v>226</v>
      </c>
      <c r="C80" t="s">
        <v>75</v>
      </c>
      <c r="D80" t="s">
        <v>76</v>
      </c>
      <c r="AI80">
        <v>0.40099999999999997</v>
      </c>
      <c r="AJ80">
        <v>1.4</v>
      </c>
      <c r="AK80">
        <v>1.89</v>
      </c>
      <c r="AL80">
        <v>2.57</v>
      </c>
      <c r="AM80">
        <v>4.92</v>
      </c>
      <c r="AN80">
        <v>13.9</v>
      </c>
      <c r="AO80">
        <v>16.8</v>
      </c>
      <c r="AP80">
        <v>19.5</v>
      </c>
      <c r="AQ80">
        <v>25.5</v>
      </c>
      <c r="AR80">
        <v>32.299999999999997</v>
      </c>
      <c r="AS80">
        <v>37.248461737112102</v>
      </c>
      <c r="AT80">
        <v>43.105363352226298</v>
      </c>
      <c r="AU80">
        <v>62.43</v>
      </c>
      <c r="AV80">
        <v>69.22</v>
      </c>
      <c r="AW80">
        <v>72.39</v>
      </c>
      <c r="AX80">
        <v>74.48</v>
      </c>
      <c r="AY80">
        <v>79.66</v>
      </c>
      <c r="AZ80">
        <v>80.78</v>
      </c>
      <c r="BA80">
        <v>83.67</v>
      </c>
      <c r="BB80">
        <v>82.49</v>
      </c>
      <c r="BC80">
        <v>86.89</v>
      </c>
      <c r="BD80">
        <v>88.709994913529997</v>
      </c>
      <c r="BE80">
        <v>89.879997974221993</v>
      </c>
      <c r="BF80">
        <v>91.514399999999995</v>
      </c>
      <c r="BG80">
        <v>86.530392752937701</v>
      </c>
      <c r="BH80">
        <v>86.422133332544504</v>
      </c>
      <c r="BI80">
        <v>87.703649959945494</v>
      </c>
      <c r="BJ80">
        <v>87.468929073061503</v>
      </c>
      <c r="BK80">
        <v>88.889959998558496</v>
      </c>
      <c r="BL80">
        <v>89.607385112977894</v>
      </c>
      <c r="BM80">
        <v>92.170271060000005</v>
      </c>
      <c r="BN80">
        <v>92.808060819999994</v>
      </c>
      <c r="BO80">
        <v>92.988794709999993</v>
      </c>
      <c r="BP80">
        <v>93.513850750000003</v>
      </c>
      <c r="BQ80">
        <v>93.724051959999997</v>
      </c>
    </row>
    <row r="81" spans="1:69">
      <c r="A81" t="s">
        <v>227</v>
      </c>
      <c r="B81" t="s">
        <v>228</v>
      </c>
      <c r="C81" t="s">
        <v>75</v>
      </c>
      <c r="D81" t="s">
        <v>76</v>
      </c>
      <c r="AI81">
        <v>0</v>
      </c>
      <c r="AL81">
        <v>6.6800000000000002E-3</v>
      </c>
      <c r="AM81">
        <v>7.9100000000000004E-3</v>
      </c>
      <c r="AN81">
        <v>9.1199999999999996E-3</v>
      </c>
      <c r="AO81">
        <v>6.4399999999999999E-2</v>
      </c>
      <c r="AP81">
        <v>0.22300000000000003</v>
      </c>
      <c r="AQ81">
        <v>0.63300000000000001</v>
      </c>
      <c r="AR81">
        <v>0.94199999999999995</v>
      </c>
      <c r="AS81">
        <v>1.4968547339902001</v>
      </c>
      <c r="AT81">
        <v>1.8579785936093001</v>
      </c>
      <c r="AU81">
        <v>6.1526497001198504</v>
      </c>
      <c r="AV81">
        <v>6.72543473821551</v>
      </c>
      <c r="AW81">
        <v>7.4129434854202003</v>
      </c>
      <c r="AX81">
        <v>8.4536366337135895</v>
      </c>
      <c r="AY81">
        <v>9.6000384001536005</v>
      </c>
      <c r="AZ81">
        <v>10.89780045</v>
      </c>
      <c r="BA81">
        <v>13</v>
      </c>
      <c r="BB81">
        <v>17</v>
      </c>
      <c r="BC81">
        <v>20</v>
      </c>
      <c r="BD81">
        <v>28</v>
      </c>
      <c r="BE81">
        <v>33.742401119999997</v>
      </c>
      <c r="BF81">
        <v>35.200000760000002</v>
      </c>
      <c r="BG81">
        <v>37.400001529999997</v>
      </c>
      <c r="BH81">
        <v>42.5</v>
      </c>
      <c r="BI81">
        <v>49.41999817</v>
      </c>
      <c r="BJ81">
        <v>53.647399900000003</v>
      </c>
      <c r="BK81">
        <v>58.236400600000003</v>
      </c>
      <c r="BL81">
        <v>63.217899320000001</v>
      </c>
      <c r="BM81">
        <v>68.625602720000003</v>
      </c>
      <c r="BN81">
        <v>70.568000789999999</v>
      </c>
      <c r="BO81">
        <v>72.565498349999999</v>
      </c>
      <c r="BP81">
        <v>74.116096499999998</v>
      </c>
      <c r="BQ81">
        <v>74.705200199999993</v>
      </c>
    </row>
    <row r="82" spans="1:69">
      <c r="A82" t="s">
        <v>229</v>
      </c>
      <c r="B82" t="s">
        <v>230</v>
      </c>
      <c r="C82" t="s">
        <v>75</v>
      </c>
      <c r="D82" t="s">
        <v>76</v>
      </c>
      <c r="AI82">
        <v>5.2800000000000007E-2</v>
      </c>
      <c r="AJ82">
        <v>0.14000000000000001</v>
      </c>
      <c r="AK82">
        <v>0.27899999999999997</v>
      </c>
      <c r="AL82">
        <v>0.59100000000000008</v>
      </c>
      <c r="AM82">
        <v>0.9</v>
      </c>
      <c r="AN82">
        <v>1.64</v>
      </c>
      <c r="AO82">
        <v>2.58</v>
      </c>
      <c r="AP82">
        <v>4.26</v>
      </c>
      <c r="AQ82">
        <v>6.32</v>
      </c>
      <c r="AR82">
        <v>9.1300000000000008</v>
      </c>
      <c r="AS82">
        <v>14.307923943067699</v>
      </c>
      <c r="AT82">
        <v>26.3259035521688</v>
      </c>
      <c r="AU82">
        <v>30.18</v>
      </c>
      <c r="AV82">
        <v>36.14</v>
      </c>
      <c r="AW82">
        <v>39.15</v>
      </c>
      <c r="AX82">
        <v>42.87</v>
      </c>
      <c r="AY82">
        <v>46.87</v>
      </c>
      <c r="AZ82">
        <v>66.09</v>
      </c>
      <c r="BA82">
        <v>70.680000000000007</v>
      </c>
      <c r="BB82">
        <v>71.58</v>
      </c>
      <c r="BC82">
        <v>77.28</v>
      </c>
      <c r="BD82">
        <v>77.819998992670605</v>
      </c>
      <c r="BE82">
        <v>81.44</v>
      </c>
      <c r="BF82">
        <v>81.919799999999995</v>
      </c>
      <c r="BG82">
        <v>83.751099668182107</v>
      </c>
      <c r="BH82">
        <v>78.006037707190202</v>
      </c>
      <c r="BI82">
        <v>79.269811320754698</v>
      </c>
      <c r="BJ82">
        <v>80.502459724360705</v>
      </c>
      <c r="BK82">
        <v>82.043186778848394</v>
      </c>
      <c r="BL82">
        <v>83.339744086688299</v>
      </c>
      <c r="BM82">
        <v>84.706398010000001</v>
      </c>
      <c r="BN82">
        <v>86.095485749999995</v>
      </c>
      <c r="BO82">
        <v>85.333317339999994</v>
      </c>
      <c r="BP82">
        <v>86.836357890000002</v>
      </c>
      <c r="BQ82">
        <v>88.653816379999995</v>
      </c>
    </row>
    <row r="83" spans="1:69">
      <c r="A83" t="s">
        <v>231</v>
      </c>
      <c r="B83" t="s">
        <v>232</v>
      </c>
      <c r="C83" t="s">
        <v>75</v>
      </c>
      <c r="D83" t="s">
        <v>76</v>
      </c>
      <c r="AI83">
        <v>0</v>
      </c>
      <c r="AN83">
        <v>0</v>
      </c>
      <c r="AO83">
        <v>2.3199999999999998</v>
      </c>
      <c r="AP83">
        <v>4.5999999999999996</v>
      </c>
      <c r="AQ83">
        <v>11.3</v>
      </c>
      <c r="AR83">
        <v>22.3</v>
      </c>
      <c r="AS83">
        <v>32.916392363397001</v>
      </c>
      <c r="AT83">
        <v>43.246983522899299</v>
      </c>
      <c r="AU83">
        <v>53.299221831361301</v>
      </c>
      <c r="AV83">
        <v>58.912640969533697</v>
      </c>
      <c r="AW83">
        <v>66.533599467731193</v>
      </c>
      <c r="AX83">
        <v>67.902631741393904</v>
      </c>
      <c r="AY83">
        <v>69.359445124439006</v>
      </c>
      <c r="AZ83">
        <v>75.98</v>
      </c>
      <c r="BA83">
        <v>75.569999999999993</v>
      </c>
      <c r="BB83">
        <v>75.180000000000007</v>
      </c>
      <c r="BC83">
        <v>75.2</v>
      </c>
      <c r="BD83">
        <v>80.732172800000001</v>
      </c>
      <c r="BE83">
        <v>85.335189239210905</v>
      </c>
      <c r="BF83">
        <v>90</v>
      </c>
      <c r="BG83">
        <v>93.3</v>
      </c>
      <c r="BH83">
        <v>94.2</v>
      </c>
      <c r="BI83">
        <v>95.108681672025696</v>
      </c>
      <c r="BJ83">
        <v>97.581958938446803</v>
      </c>
    </row>
    <row r="84" spans="1:69">
      <c r="A84" t="s">
        <v>233</v>
      </c>
      <c r="B84" t="s">
        <v>234</v>
      </c>
      <c r="C84" t="s">
        <v>75</v>
      </c>
      <c r="D84" t="s">
        <v>76</v>
      </c>
      <c r="AI84">
        <v>0</v>
      </c>
      <c r="AO84">
        <v>0.27799999999999997</v>
      </c>
      <c r="AP84">
        <v>0.57099999999999995</v>
      </c>
      <c r="AQ84">
        <v>1.86</v>
      </c>
      <c r="AR84">
        <v>2.8</v>
      </c>
      <c r="AS84">
        <v>3.7348621369013699</v>
      </c>
      <c r="AT84">
        <v>4.6605271988367303</v>
      </c>
      <c r="AU84">
        <v>5.5700997047847203</v>
      </c>
      <c r="AV84">
        <v>9.23250210039423</v>
      </c>
      <c r="AW84">
        <v>11.0178673081514</v>
      </c>
      <c r="AX84">
        <v>11.88140011</v>
      </c>
      <c r="AY84">
        <v>12.750300409999999</v>
      </c>
      <c r="AZ84">
        <v>13.62110043</v>
      </c>
      <c r="BA84">
        <v>14.49</v>
      </c>
      <c r="BB84">
        <v>15.35</v>
      </c>
      <c r="BC84">
        <v>20</v>
      </c>
      <c r="BD84">
        <v>22.799999239999998</v>
      </c>
      <c r="BE84">
        <v>25.974399569999999</v>
      </c>
      <c r="BF84">
        <v>27.799999240000002</v>
      </c>
      <c r="BG84">
        <v>29.649999619999999</v>
      </c>
      <c r="BH84">
        <v>31.501100539999999</v>
      </c>
      <c r="BI84">
        <v>33.352199550000002</v>
      </c>
      <c r="BJ84">
        <v>35.304100040000002</v>
      </c>
      <c r="BK84">
        <v>36.614601139999998</v>
      </c>
      <c r="BL84">
        <v>37.973701480000003</v>
      </c>
      <c r="BM84">
        <v>39.383300779999999</v>
      </c>
      <c r="BO84">
        <v>39.027900700000004</v>
      </c>
      <c r="BP84">
        <v>39.39889908</v>
      </c>
      <c r="BQ84">
        <v>39.523601530000001</v>
      </c>
    </row>
    <row r="85" spans="1:69">
      <c r="A85" t="s">
        <v>235</v>
      </c>
      <c r="B85" t="s">
        <v>236</v>
      </c>
      <c r="C85" t="s">
        <v>75</v>
      </c>
      <c r="D85" t="s">
        <v>76</v>
      </c>
      <c r="AI85">
        <v>0</v>
      </c>
      <c r="AO85">
        <v>0</v>
      </c>
      <c r="AP85">
        <v>4.8000000000000001E-2</v>
      </c>
      <c r="AQ85">
        <v>0.17</v>
      </c>
      <c r="AR85">
        <v>0.249</v>
      </c>
      <c r="AS85">
        <v>1.21614061828589</v>
      </c>
      <c r="AT85">
        <v>1.34762022159633</v>
      </c>
      <c r="AU85">
        <v>1.93953010616212</v>
      </c>
      <c r="AV85">
        <v>2.6595865938598502</v>
      </c>
      <c r="AW85">
        <v>2.9790698003501901</v>
      </c>
      <c r="AX85">
        <v>4.8932647497241204</v>
      </c>
      <c r="AY85">
        <v>5.4892008028013501</v>
      </c>
      <c r="AZ85">
        <v>5.7670001979999999</v>
      </c>
      <c r="BA85">
        <v>7.5</v>
      </c>
      <c r="BB85">
        <v>9.5</v>
      </c>
      <c r="BC85">
        <v>13</v>
      </c>
      <c r="BD85">
        <v>18</v>
      </c>
      <c r="BE85">
        <v>24</v>
      </c>
      <c r="BF85">
        <v>30.538000109999999</v>
      </c>
      <c r="BG85">
        <v>38.07120132</v>
      </c>
      <c r="BH85">
        <v>45.784500119999997</v>
      </c>
      <c r="BI85">
        <v>48.052299499999997</v>
      </c>
      <c r="BJ85">
        <v>51.604900360000002</v>
      </c>
      <c r="BK85">
        <v>55.420200350000002</v>
      </c>
      <c r="BL85">
        <v>59.51760101</v>
      </c>
      <c r="BM85">
        <v>63.917900090000003</v>
      </c>
      <c r="BN85">
        <v>65.768096920000005</v>
      </c>
      <c r="BO85">
        <v>67.671699520000004</v>
      </c>
      <c r="BP85">
        <v>68.197898859999995</v>
      </c>
      <c r="BQ85">
        <v>68.720901490000003</v>
      </c>
    </row>
    <row r="86" spans="1:69">
      <c r="A86" t="s">
        <v>237</v>
      </c>
      <c r="B86" t="s">
        <v>238</v>
      </c>
      <c r="C86" t="s">
        <v>75</v>
      </c>
      <c r="D86" t="s">
        <v>76</v>
      </c>
      <c r="AI86">
        <v>8.7400000000000005E-2</v>
      </c>
      <c r="AJ86">
        <v>0.17399999999999999</v>
      </c>
      <c r="AK86">
        <v>0.26100000000000001</v>
      </c>
      <c r="AL86">
        <v>0.52</v>
      </c>
      <c r="AM86">
        <v>1.04</v>
      </c>
      <c r="AN86">
        <v>1.9</v>
      </c>
      <c r="AO86">
        <v>4.12</v>
      </c>
      <c r="AP86">
        <v>7.39</v>
      </c>
      <c r="AQ86">
        <v>13.7</v>
      </c>
      <c r="AR86">
        <v>21.3</v>
      </c>
      <c r="AS86">
        <v>26.821754350857798</v>
      </c>
      <c r="AT86">
        <v>33.481094874414701</v>
      </c>
      <c r="AU86">
        <v>56.48</v>
      </c>
      <c r="AV86">
        <v>64.819999999999993</v>
      </c>
      <c r="AW86">
        <v>65.61</v>
      </c>
      <c r="AX86">
        <v>70</v>
      </c>
      <c r="AY86">
        <v>68.819999999999993</v>
      </c>
      <c r="AZ86">
        <v>75.09</v>
      </c>
      <c r="BA86">
        <v>78.39</v>
      </c>
      <c r="BB86">
        <v>83.56</v>
      </c>
      <c r="BC86">
        <v>85</v>
      </c>
      <c r="BD86">
        <v>85.379998549632205</v>
      </c>
      <c r="BE86">
        <v>87.479998424211104</v>
      </c>
      <c r="BF86">
        <v>89.844099999999997</v>
      </c>
      <c r="BG86">
        <v>91.613300917645304</v>
      </c>
      <c r="BH86">
        <v>92.000299874023398</v>
      </c>
      <c r="BI86">
        <v>94.775800631888202</v>
      </c>
      <c r="BJ86">
        <v>90.424550486855296</v>
      </c>
      <c r="BK86">
        <v>90.692008988783002</v>
      </c>
      <c r="BL86">
        <v>92.516628549713801</v>
      </c>
      <c r="BM86">
        <v>94.81820132</v>
      </c>
      <c r="BN86">
        <v>96.196502690000003</v>
      </c>
      <c r="BO86">
        <v>95.465301510000003</v>
      </c>
      <c r="BP86">
        <v>95.447196959999999</v>
      </c>
      <c r="BQ86">
        <v>95.472099299999996</v>
      </c>
    </row>
    <row r="87" spans="1:69">
      <c r="A87" t="s">
        <v>239</v>
      </c>
      <c r="B87" t="s">
        <v>240</v>
      </c>
      <c r="C87" t="s">
        <v>75</v>
      </c>
      <c r="D87" t="s">
        <v>76</v>
      </c>
      <c r="AI87">
        <v>0</v>
      </c>
      <c r="AN87">
        <v>1.18E-2</v>
      </c>
      <c r="AO87">
        <v>4.0099999999999997E-2</v>
      </c>
      <c r="AP87">
        <v>6.0899999999999996E-2</v>
      </c>
      <c r="AQ87">
        <v>0.10300000000000001</v>
      </c>
      <c r="AR87">
        <v>0.41599999999999998</v>
      </c>
      <c r="AS87">
        <v>0.484746298540492</v>
      </c>
      <c r="AT87">
        <v>0.99234443613815404</v>
      </c>
      <c r="AU87">
        <v>1.5878756298033201</v>
      </c>
      <c r="AV87">
        <v>2.5588164806848899</v>
      </c>
      <c r="AW87">
        <v>3.8862213535027301</v>
      </c>
      <c r="AX87">
        <v>6.0795001979999999</v>
      </c>
      <c r="AY87">
        <v>7.5268768448783199</v>
      </c>
      <c r="AZ87">
        <v>8.26</v>
      </c>
      <c r="BA87">
        <v>10.010000229999999</v>
      </c>
      <c r="BB87">
        <v>20.06999969</v>
      </c>
      <c r="BC87">
        <v>26.9</v>
      </c>
      <c r="BD87">
        <v>31.520000459999999</v>
      </c>
      <c r="BE87">
        <v>36.939998629999998</v>
      </c>
      <c r="BF87">
        <v>43.3</v>
      </c>
      <c r="BG87">
        <v>49.102454714464699</v>
      </c>
      <c r="BH87">
        <v>47.569759643873603</v>
      </c>
      <c r="BI87">
        <v>58.459289611872499</v>
      </c>
      <c r="BJ87">
        <v>59.7055045962571</v>
      </c>
      <c r="BK87">
        <v>62.7179081974285</v>
      </c>
      <c r="BL87">
        <v>68.846713561697797</v>
      </c>
      <c r="BM87">
        <v>72.53157487</v>
      </c>
      <c r="BN87">
        <v>76.442709300000004</v>
      </c>
      <c r="BO87">
        <v>78.711275360000002</v>
      </c>
      <c r="BP87">
        <v>81.884256239999999</v>
      </c>
      <c r="BQ87">
        <v>83.79855689</v>
      </c>
    </row>
    <row r="88" spans="1:69">
      <c r="A88" t="s">
        <v>241</v>
      </c>
      <c r="B88" t="s">
        <v>242</v>
      </c>
      <c r="C88" t="s">
        <v>75</v>
      </c>
      <c r="D88" t="s">
        <v>76</v>
      </c>
      <c r="AI88">
        <v>0</v>
      </c>
      <c r="AN88">
        <v>3.48E-4</v>
      </c>
      <c r="AO88">
        <v>5.6499999999999996E-3</v>
      </c>
      <c r="AP88">
        <v>2.75E-2</v>
      </c>
      <c r="AQ88">
        <v>3.2199999999999999E-2</v>
      </c>
      <c r="AR88">
        <v>0.105</v>
      </c>
      <c r="AS88">
        <v>0.15361529762579901</v>
      </c>
      <c r="AT88">
        <v>0.20000806032483101</v>
      </c>
      <c r="AU88">
        <v>0.83028403381873805</v>
      </c>
      <c r="AV88">
        <v>1.19305791098328</v>
      </c>
      <c r="AW88">
        <v>1.7167977038950399</v>
      </c>
      <c r="AX88">
        <v>1.8311974610461601</v>
      </c>
      <c r="AY88">
        <v>2.7231759731398699</v>
      </c>
      <c r="AZ88">
        <v>3.85</v>
      </c>
      <c r="BA88">
        <v>4.2699999999999996</v>
      </c>
      <c r="BB88">
        <v>5.44</v>
      </c>
      <c r="BC88">
        <v>7.8</v>
      </c>
      <c r="BD88">
        <v>9</v>
      </c>
      <c r="BE88">
        <v>10.6</v>
      </c>
      <c r="BF88">
        <v>15</v>
      </c>
      <c r="BG88">
        <v>19</v>
      </c>
      <c r="BH88">
        <v>23</v>
      </c>
      <c r="BI88">
        <v>28</v>
      </c>
      <c r="BJ88">
        <v>37.884201050000001</v>
      </c>
      <c r="BK88">
        <v>43</v>
      </c>
      <c r="BL88">
        <v>22.0732</v>
      </c>
      <c r="BM88">
        <v>62.51760101</v>
      </c>
      <c r="BN88">
        <v>68.599999999999994</v>
      </c>
      <c r="BO88">
        <v>69.913299559999999</v>
      </c>
      <c r="BP88">
        <v>70.674301150000005</v>
      </c>
      <c r="BQ88">
        <v>72.175697330000006</v>
      </c>
    </row>
    <row r="89" spans="1:69">
      <c r="A89" t="s">
        <v>243</v>
      </c>
      <c r="B89" t="s">
        <v>244</v>
      </c>
      <c r="C89" t="s">
        <v>75</v>
      </c>
      <c r="D89" t="s">
        <v>76</v>
      </c>
      <c r="AI89">
        <v>0</v>
      </c>
      <c r="AP89">
        <v>2.66</v>
      </c>
      <c r="AQ89">
        <v>4.18</v>
      </c>
      <c r="AR89">
        <v>5.94</v>
      </c>
      <c r="AS89">
        <v>19.1316381248919</v>
      </c>
      <c r="AT89">
        <v>21.171109436030999</v>
      </c>
      <c r="AU89">
        <v>23.670239745713999</v>
      </c>
      <c r="AV89">
        <v>28.3257797920554</v>
      </c>
      <c r="AW89">
        <v>32.886082609839498</v>
      </c>
      <c r="AX89">
        <v>39.0701308849385</v>
      </c>
      <c r="AY89">
        <v>45.298647511810003</v>
      </c>
      <c r="AZ89">
        <v>51.61</v>
      </c>
      <c r="BA89">
        <v>58</v>
      </c>
      <c r="BB89">
        <v>65.069999999999993</v>
      </c>
      <c r="BC89">
        <v>65</v>
      </c>
      <c r="BD89">
        <v>65</v>
      </c>
      <c r="BE89">
        <v>65.016999999999996</v>
      </c>
      <c r="BI89">
        <v>94.444471581815094</v>
      </c>
    </row>
    <row r="90" spans="1:69">
      <c r="A90" t="s">
        <v>245</v>
      </c>
      <c r="B90" t="s">
        <v>246</v>
      </c>
      <c r="C90" t="s">
        <v>75</v>
      </c>
      <c r="D90" t="s">
        <v>76</v>
      </c>
      <c r="AI90">
        <v>0</v>
      </c>
      <c r="AM90">
        <v>1.3799999999999999E-4</v>
      </c>
      <c r="AN90">
        <v>6.69E-4</v>
      </c>
      <c r="AO90">
        <v>1.9499999999999999E-3</v>
      </c>
      <c r="AP90">
        <v>3.8000000000000004E-3</v>
      </c>
      <c r="AQ90">
        <v>6.2000000000000006E-3</v>
      </c>
      <c r="AR90">
        <v>6.0800000000000007E-2</v>
      </c>
      <c r="AS90">
        <v>9.5424923606384604E-2</v>
      </c>
      <c r="AT90">
        <v>0.17554186849105399</v>
      </c>
      <c r="AU90">
        <v>0.40202274874439697</v>
      </c>
      <c r="AV90">
        <v>0.45096037084275098</v>
      </c>
      <c r="AW90">
        <v>0.50881933230293697</v>
      </c>
      <c r="AX90">
        <v>0.54229998599999996</v>
      </c>
      <c r="AY90">
        <v>0.63749998799999996</v>
      </c>
      <c r="AZ90">
        <v>0.78002527905924401</v>
      </c>
      <c r="BA90">
        <v>0.92</v>
      </c>
      <c r="BB90">
        <v>0.94</v>
      </c>
      <c r="BC90">
        <v>1</v>
      </c>
      <c r="BD90">
        <v>2</v>
      </c>
      <c r="BE90">
        <v>3.0999999050000002</v>
      </c>
      <c r="BF90">
        <v>4.5</v>
      </c>
      <c r="BG90">
        <v>6.4000000950000002</v>
      </c>
      <c r="BH90">
        <v>9.1999998089999995</v>
      </c>
      <c r="BI90">
        <v>13.100000380000001</v>
      </c>
      <c r="BJ90">
        <v>18.700000760000002</v>
      </c>
      <c r="BK90">
        <v>21.8300230430563</v>
      </c>
      <c r="BL90">
        <v>23.89049911</v>
      </c>
      <c r="BM90">
        <v>26.145500179999999</v>
      </c>
      <c r="BN90">
        <v>28.61330032</v>
      </c>
      <c r="BO90">
        <v>31.31399918</v>
      </c>
      <c r="BP90">
        <v>32.315601350000001</v>
      </c>
      <c r="BQ90">
        <v>33.304698940000002</v>
      </c>
    </row>
    <row r="91" spans="1:69">
      <c r="A91" t="s">
        <v>247</v>
      </c>
      <c r="B91" t="s">
        <v>248</v>
      </c>
      <c r="C91" t="s">
        <v>75</v>
      </c>
      <c r="D91" t="s">
        <v>76</v>
      </c>
      <c r="AI91">
        <v>0</v>
      </c>
      <c r="AN91">
        <v>9.2200000000000008E-3</v>
      </c>
      <c r="AO91">
        <v>3.5500000000000004E-2</v>
      </c>
      <c r="AP91">
        <v>5.1299999999999998E-2</v>
      </c>
      <c r="AQ91">
        <v>0.20600000000000002</v>
      </c>
      <c r="AR91">
        <v>0.71599999999999997</v>
      </c>
      <c r="AS91">
        <v>0.92179491906640598</v>
      </c>
      <c r="AT91">
        <v>1.33679116648397</v>
      </c>
      <c r="AU91">
        <v>1.7967798829649499</v>
      </c>
      <c r="AV91">
        <v>2.436781193062</v>
      </c>
      <c r="AW91">
        <v>3.3080034781293701</v>
      </c>
      <c r="AX91">
        <v>3.7990000249999998</v>
      </c>
      <c r="AY91">
        <v>5.2376911584121801</v>
      </c>
      <c r="AZ91">
        <v>6.2050374185241797</v>
      </c>
      <c r="BA91">
        <v>6.8800001140000004</v>
      </c>
      <c r="BB91">
        <v>7.6300001140000004</v>
      </c>
      <c r="BC91">
        <v>9.1999999999999993</v>
      </c>
      <c r="BD91">
        <v>10.870300289999999</v>
      </c>
      <c r="BE91">
        <v>12.44919968</v>
      </c>
      <c r="BF91">
        <v>14</v>
      </c>
      <c r="BG91">
        <v>15.56000042</v>
      </c>
      <c r="BH91">
        <v>17.59950066</v>
      </c>
      <c r="BI91">
        <v>19.906400680000001</v>
      </c>
      <c r="BJ91">
        <v>22.515600200000002</v>
      </c>
      <c r="BK91">
        <v>28.309000019999999</v>
      </c>
      <c r="BL91">
        <v>31.118299480000001</v>
      </c>
      <c r="BM91">
        <v>36.011001589999999</v>
      </c>
      <c r="BN91">
        <v>41.673099520000001</v>
      </c>
      <c r="BO91">
        <v>48.225399019999998</v>
      </c>
      <c r="BP91">
        <v>48.728298189999997</v>
      </c>
      <c r="BQ91">
        <v>49.494300840000001</v>
      </c>
    </row>
    <row r="92" spans="1:69">
      <c r="A92" t="s">
        <v>249</v>
      </c>
      <c r="B92" t="s">
        <v>250</v>
      </c>
      <c r="C92" t="s">
        <v>75</v>
      </c>
      <c r="D92" t="s">
        <v>76</v>
      </c>
      <c r="AI92">
        <v>0</v>
      </c>
      <c r="AP92">
        <v>1.6400000000000001E-2</v>
      </c>
      <c r="AQ92">
        <v>2.41E-2</v>
      </c>
      <c r="AR92">
        <v>0.11800000000000001</v>
      </c>
      <c r="AS92">
        <v>0.230103170591588</v>
      </c>
      <c r="AT92">
        <v>0.29956914467766699</v>
      </c>
      <c r="AU92">
        <v>1.0229932343611701</v>
      </c>
      <c r="AV92">
        <v>1.35419747762901</v>
      </c>
      <c r="AW92">
        <v>1.8081422034299099</v>
      </c>
      <c r="AX92">
        <v>1.9013999699999999</v>
      </c>
      <c r="AY92">
        <v>2.0571999550000002</v>
      </c>
      <c r="AZ92">
        <v>2.20630002</v>
      </c>
      <c r="BA92">
        <v>2.3548887108793299</v>
      </c>
      <c r="BB92">
        <v>2.3032805917258199</v>
      </c>
      <c r="BC92">
        <v>2.4500000480000002</v>
      </c>
      <c r="BD92">
        <v>2.6719999310000002</v>
      </c>
      <c r="BE92">
        <v>2.8940000530000001</v>
      </c>
      <c r="BF92">
        <v>3.0999999050000002</v>
      </c>
      <c r="BG92">
        <v>3.3199999330000001</v>
      </c>
      <c r="BH92">
        <v>6.0999999049999998</v>
      </c>
      <c r="BI92">
        <v>13.80000019</v>
      </c>
      <c r="BJ92">
        <v>14.80000019</v>
      </c>
      <c r="BK92">
        <v>15.69999981</v>
      </c>
      <c r="BL92">
        <v>17.92149925</v>
      </c>
      <c r="BM92">
        <v>20.457300190000002</v>
      </c>
      <c r="BN92">
        <v>23.351900100000002</v>
      </c>
      <c r="BO92">
        <v>27.673799509999998</v>
      </c>
      <c r="BP92">
        <v>28.71240044</v>
      </c>
      <c r="BQ92">
        <v>29.77739906</v>
      </c>
    </row>
    <row r="93" spans="1:69">
      <c r="A93" t="s">
        <v>251</v>
      </c>
      <c r="B93" t="s">
        <v>252</v>
      </c>
      <c r="C93" t="s">
        <v>75</v>
      </c>
      <c r="D93" t="s">
        <v>76</v>
      </c>
      <c r="AI93">
        <v>0</v>
      </c>
      <c r="AP93">
        <v>4.1500000000000002E-2</v>
      </c>
      <c r="AQ93">
        <v>9.4399999999999998E-2</v>
      </c>
      <c r="AR93">
        <v>9.74E-2</v>
      </c>
      <c r="AS93">
        <v>0.13235466512378899</v>
      </c>
      <c r="AT93">
        <v>0.16526042288306</v>
      </c>
      <c r="AU93">
        <v>0.321197997152044</v>
      </c>
      <c r="AV93">
        <v>0.52052427204680596</v>
      </c>
      <c r="AW93">
        <v>0.843930284607049</v>
      </c>
      <c r="AX93">
        <v>1.1497999430000001</v>
      </c>
      <c r="AY93">
        <v>1.279199958</v>
      </c>
      <c r="AZ93">
        <v>1.5571000580000001</v>
      </c>
      <c r="BA93">
        <v>1.8200000519999999</v>
      </c>
      <c r="BB93">
        <v>2.130000114</v>
      </c>
      <c r="BC93">
        <v>6</v>
      </c>
      <c r="BD93">
        <v>11.5</v>
      </c>
      <c r="BE93">
        <v>13.943200109999999</v>
      </c>
      <c r="BF93">
        <v>16.399999619999999</v>
      </c>
      <c r="BG93">
        <v>18.86000061</v>
      </c>
      <c r="BH93">
        <v>21.31999969</v>
      </c>
      <c r="BI93">
        <v>23.780000690000001</v>
      </c>
      <c r="BJ93">
        <v>26.239999770000001</v>
      </c>
      <c r="BK93">
        <v>29.399999619999999</v>
      </c>
      <c r="BL93">
        <v>49.13370132</v>
      </c>
      <c r="BM93">
        <v>55.001300809999996</v>
      </c>
      <c r="BN93">
        <v>58.717300420000001</v>
      </c>
      <c r="BO93">
        <v>63.659500119999997</v>
      </c>
      <c r="BP93">
        <v>63.519500729999997</v>
      </c>
      <c r="BQ93">
        <v>63.299301149999998</v>
      </c>
    </row>
    <row r="94" spans="1:69">
      <c r="A94" t="s">
        <v>253</v>
      </c>
      <c r="B94" t="s">
        <v>254</v>
      </c>
      <c r="C94" t="s">
        <v>75</v>
      </c>
      <c r="D94" t="s">
        <v>76</v>
      </c>
      <c r="AI94">
        <v>0</v>
      </c>
      <c r="AJ94">
        <v>4.8799999999999996E-2</v>
      </c>
      <c r="AK94">
        <v>4.8299999999999996E-2</v>
      </c>
      <c r="AL94">
        <v>0.191</v>
      </c>
      <c r="AM94">
        <v>0.378</v>
      </c>
      <c r="AN94">
        <v>0.75</v>
      </c>
      <c r="AO94">
        <v>1.4</v>
      </c>
      <c r="AP94">
        <v>1.85</v>
      </c>
      <c r="AQ94">
        <v>3.22</v>
      </c>
      <c r="AR94">
        <v>6.88</v>
      </c>
      <c r="AS94">
        <v>9.1388373077679805</v>
      </c>
      <c r="AT94">
        <v>10.935025808027801</v>
      </c>
      <c r="AU94">
        <v>14.67</v>
      </c>
      <c r="AV94">
        <v>17.8</v>
      </c>
      <c r="AW94">
        <v>21.42</v>
      </c>
      <c r="AX94">
        <v>24</v>
      </c>
      <c r="AY94">
        <v>32.25</v>
      </c>
      <c r="AZ94">
        <v>35.880000000000003</v>
      </c>
      <c r="BA94">
        <v>38.200000000000003</v>
      </c>
      <c r="BB94">
        <v>42.4</v>
      </c>
      <c r="BC94">
        <v>44.4</v>
      </c>
      <c r="BD94">
        <v>51.649995167681503</v>
      </c>
      <c r="BE94">
        <v>55.069993441841099</v>
      </c>
      <c r="BF94">
        <v>59.866300000000003</v>
      </c>
      <c r="BG94">
        <v>63.207340478456103</v>
      </c>
      <c r="BH94">
        <v>66.834959491103504</v>
      </c>
      <c r="BI94">
        <v>69.087915472389199</v>
      </c>
      <c r="BJ94">
        <v>69.892970654315405</v>
      </c>
      <c r="BK94">
        <v>72.238373392048302</v>
      </c>
      <c r="BL94">
        <v>75.671206693175705</v>
      </c>
      <c r="BM94">
        <v>78.11584474</v>
      </c>
      <c r="BN94">
        <v>78.494263709999998</v>
      </c>
      <c r="BO94">
        <v>83.170663329999996</v>
      </c>
      <c r="BP94">
        <v>85.010222900000002</v>
      </c>
      <c r="BQ94">
        <v>86.269688860000002</v>
      </c>
    </row>
    <row r="95" spans="1:69">
      <c r="A95" t="s">
        <v>255</v>
      </c>
      <c r="B95" t="s">
        <v>256</v>
      </c>
      <c r="C95" t="s">
        <v>75</v>
      </c>
      <c r="D95" t="s">
        <v>76</v>
      </c>
      <c r="AI95">
        <v>0</v>
      </c>
      <c r="AJ95">
        <v>0</v>
      </c>
      <c r="AK95">
        <v>0</v>
      </c>
      <c r="AL95">
        <v>0</v>
      </c>
      <c r="AM95">
        <v>0</v>
      </c>
      <c r="AN95">
        <v>0</v>
      </c>
      <c r="AO95">
        <v>0.29799999999999999</v>
      </c>
      <c r="AP95">
        <v>0.99099999999999999</v>
      </c>
      <c r="AQ95">
        <v>1.48</v>
      </c>
      <c r="AR95">
        <v>2.4700000000000002</v>
      </c>
      <c r="AS95">
        <v>4.0639079914631298</v>
      </c>
      <c r="AT95">
        <v>5.1281039821699803</v>
      </c>
      <c r="AU95">
        <v>14.7588405454867</v>
      </c>
      <c r="AV95">
        <v>18.645182183056399</v>
      </c>
      <c r="AW95">
        <v>19.570620584378702</v>
      </c>
      <c r="AX95">
        <v>20.4878006</v>
      </c>
      <c r="AY95">
        <v>21.39599991</v>
      </c>
      <c r="AZ95">
        <v>22.29</v>
      </c>
      <c r="BA95">
        <v>23.18000031</v>
      </c>
      <c r="BB95">
        <v>24.049999240000002</v>
      </c>
      <c r="BC95">
        <v>27</v>
      </c>
      <c r="BD95">
        <v>30</v>
      </c>
      <c r="BE95">
        <v>32</v>
      </c>
      <c r="BF95">
        <v>35</v>
      </c>
      <c r="BG95">
        <v>51.6</v>
      </c>
      <c r="BH95">
        <v>52.5</v>
      </c>
      <c r="BI95">
        <v>53.299999239999998</v>
      </c>
      <c r="BJ95">
        <v>54.200000760000002</v>
      </c>
      <c r="BK95">
        <v>61.424598690000003</v>
      </c>
      <c r="BL95">
        <v>64.312797549999999</v>
      </c>
      <c r="BM95">
        <v>65.653800959999998</v>
      </c>
      <c r="BN95">
        <v>67.022796630000002</v>
      </c>
      <c r="BO95">
        <v>68.420303340000004</v>
      </c>
      <c r="BP95">
        <v>69.4131012</v>
      </c>
      <c r="BQ95">
        <v>70.161598209999994</v>
      </c>
    </row>
    <row r="96" spans="1:69">
      <c r="A96" t="s">
        <v>257</v>
      </c>
      <c r="B96" t="s">
        <v>258</v>
      </c>
      <c r="C96" t="s">
        <v>75</v>
      </c>
      <c r="D96" t="s">
        <v>76</v>
      </c>
      <c r="AI96">
        <v>0</v>
      </c>
      <c r="AM96">
        <v>6.4700000000000008E-2</v>
      </c>
      <c r="AN96">
        <v>5.3899999999999997E-2</v>
      </c>
      <c r="AO96">
        <v>1.8</v>
      </c>
      <c r="AP96">
        <v>7.95</v>
      </c>
      <c r="AQ96">
        <v>14.7</v>
      </c>
      <c r="AR96">
        <v>21.6</v>
      </c>
      <c r="AS96">
        <v>31.747811232116199</v>
      </c>
      <c r="AT96">
        <v>35.464136891568401</v>
      </c>
      <c r="AU96">
        <v>44.154789028418001</v>
      </c>
      <c r="AV96">
        <v>54.534259829360501</v>
      </c>
      <c r="AW96">
        <v>56.099014761053297</v>
      </c>
      <c r="AX96">
        <v>57.703404500865602</v>
      </c>
      <c r="AY96">
        <v>59.361687268663999</v>
      </c>
      <c r="AZ96">
        <v>61.07</v>
      </c>
      <c r="BA96">
        <v>62.82</v>
      </c>
      <c r="BB96">
        <v>62.83</v>
      </c>
      <c r="BC96">
        <v>63</v>
      </c>
      <c r="BD96">
        <v>64</v>
      </c>
      <c r="BE96">
        <v>64.896010099598897</v>
      </c>
      <c r="BF96">
        <v>65.8</v>
      </c>
      <c r="BG96">
        <v>66.7</v>
      </c>
      <c r="BH96">
        <v>67.600443481005996</v>
      </c>
      <c r="BI96">
        <v>68.500873675421005</v>
      </c>
      <c r="BJ96">
        <v>69.482461782198797</v>
      </c>
    </row>
    <row r="97" spans="1:70">
      <c r="A97" t="s">
        <v>259</v>
      </c>
      <c r="B97" t="s">
        <v>260</v>
      </c>
      <c r="C97" t="s">
        <v>75</v>
      </c>
      <c r="D97" t="s">
        <v>76</v>
      </c>
      <c r="AI97">
        <v>0</v>
      </c>
      <c r="AN97">
        <v>3.0000000000000001E-3</v>
      </c>
      <c r="AO97">
        <v>1.95E-2</v>
      </c>
      <c r="AP97">
        <v>9.5500000000000002E-2</v>
      </c>
      <c r="AQ97">
        <v>0.46699999999999997</v>
      </c>
      <c r="AR97">
        <v>0.59300000000000008</v>
      </c>
      <c r="AS97">
        <v>0.71233290450892495</v>
      </c>
      <c r="AT97">
        <v>1.7382017815873001</v>
      </c>
      <c r="AU97">
        <v>3.3917462702450201</v>
      </c>
      <c r="AV97">
        <v>4.5488549084832401</v>
      </c>
      <c r="AW97">
        <v>5.0999999999999996</v>
      </c>
      <c r="AX97">
        <v>5.6999998090000004</v>
      </c>
      <c r="AY97">
        <v>6.5</v>
      </c>
      <c r="AZ97">
        <v>7.3000001909999996</v>
      </c>
      <c r="BA97">
        <v>8.3000001910000005</v>
      </c>
      <c r="BB97">
        <v>9.3000001910000005</v>
      </c>
      <c r="BC97">
        <v>10.5</v>
      </c>
      <c r="BD97">
        <v>12.30000019</v>
      </c>
      <c r="BE97">
        <v>16</v>
      </c>
      <c r="BF97">
        <v>19.700000760000002</v>
      </c>
      <c r="BG97">
        <v>23.399999619999999</v>
      </c>
      <c r="BH97">
        <v>28.805900569999999</v>
      </c>
      <c r="BI97">
        <v>34.509300230000001</v>
      </c>
      <c r="BJ97">
        <v>37.900001529999997</v>
      </c>
      <c r="BK97">
        <v>41.5</v>
      </c>
      <c r="BL97">
        <v>44.401049838501997</v>
      </c>
      <c r="BM97">
        <v>47.51229858</v>
      </c>
      <c r="BN97">
        <v>50.841649449999998</v>
      </c>
      <c r="BO97">
        <v>54.404300689999999</v>
      </c>
      <c r="BP97">
        <v>56.726699830000001</v>
      </c>
      <c r="BQ97">
        <v>60.221401210000003</v>
      </c>
    </row>
    <row r="98" spans="1:70">
      <c r="A98" t="s">
        <v>261</v>
      </c>
      <c r="B98" t="s">
        <v>262</v>
      </c>
      <c r="C98" t="s">
        <v>75</v>
      </c>
      <c r="D98" t="s">
        <v>76</v>
      </c>
      <c r="AI98">
        <v>0</v>
      </c>
      <c r="AM98">
        <v>0.34799999999999998</v>
      </c>
      <c r="AN98">
        <v>0.66</v>
      </c>
      <c r="AO98">
        <v>1.36</v>
      </c>
      <c r="AP98">
        <v>2.34</v>
      </c>
      <c r="AQ98">
        <v>4.5</v>
      </c>
      <c r="AR98">
        <v>8.5</v>
      </c>
      <c r="AS98">
        <v>16.113127042338899</v>
      </c>
      <c r="AT98">
        <v>25.380227533739799</v>
      </c>
      <c r="AU98">
        <v>31.1922942556271</v>
      </c>
      <c r="AV98">
        <v>33.716681788087598</v>
      </c>
      <c r="AW98">
        <v>36.161787838790801</v>
      </c>
      <c r="AX98">
        <v>38.559877557558004</v>
      </c>
      <c r="AY98">
        <v>43.851443004817803</v>
      </c>
      <c r="AZ98">
        <v>46.150473619235498</v>
      </c>
      <c r="BA98">
        <v>48.418702150929597</v>
      </c>
      <c r="BB98">
        <v>50.642028382043499</v>
      </c>
      <c r="BC98">
        <v>54.04</v>
      </c>
      <c r="BD98">
        <v>57.7</v>
      </c>
      <c r="BE98">
        <v>61.534159307900197</v>
      </c>
      <c r="BF98">
        <v>65.400000000000006</v>
      </c>
      <c r="BG98">
        <v>69.27</v>
      </c>
      <c r="BH98">
        <v>73.139999947042995</v>
      </c>
      <c r="BI98">
        <v>77.009999893206</v>
      </c>
      <c r="BJ98">
        <v>80.505465560083096</v>
      </c>
    </row>
    <row r="99" spans="1:70">
      <c r="A99" t="s">
        <v>263</v>
      </c>
      <c r="B99" t="s">
        <v>264</v>
      </c>
      <c r="C99" t="s">
        <v>75</v>
      </c>
      <c r="D99" t="s">
        <v>76</v>
      </c>
      <c r="AI99">
        <v>0</v>
      </c>
      <c r="AO99">
        <v>6.59E-2</v>
      </c>
      <c r="AP99">
        <v>0.13200000000000001</v>
      </c>
      <c r="AQ99">
        <v>0.26400000000000001</v>
      </c>
      <c r="AR99">
        <v>0.4</v>
      </c>
      <c r="AS99">
        <v>0.6</v>
      </c>
      <c r="AT99">
        <v>1</v>
      </c>
      <c r="AU99">
        <v>1.5</v>
      </c>
      <c r="AV99">
        <v>2.4</v>
      </c>
      <c r="AW99">
        <v>3.7</v>
      </c>
      <c r="AX99">
        <v>5.6999998090000004</v>
      </c>
      <c r="AY99">
        <v>8.8999996190000008</v>
      </c>
      <c r="AZ99">
        <v>13.80000019</v>
      </c>
      <c r="BA99">
        <v>18.2</v>
      </c>
      <c r="BB99">
        <v>23.9</v>
      </c>
      <c r="BC99">
        <v>29.9</v>
      </c>
      <c r="BD99">
        <v>30</v>
      </c>
      <c r="BE99">
        <v>30.5</v>
      </c>
      <c r="BF99">
        <v>31</v>
      </c>
      <c r="BG99">
        <v>32</v>
      </c>
      <c r="BH99">
        <v>34</v>
      </c>
      <c r="BI99">
        <v>35.659999849999998</v>
      </c>
      <c r="BJ99">
        <v>42.6753006</v>
      </c>
      <c r="BK99">
        <v>48.598899840000001</v>
      </c>
      <c r="BL99">
        <v>55.312698359999999</v>
      </c>
      <c r="BM99">
        <v>62.953998570000003</v>
      </c>
      <c r="BN99">
        <v>71.650901790000006</v>
      </c>
      <c r="BO99">
        <v>76.562400819999993</v>
      </c>
      <c r="BP99">
        <v>79.355300900000003</v>
      </c>
      <c r="BQ99">
        <v>83.000801089999996</v>
      </c>
    </row>
    <row r="100" spans="1:70">
      <c r="A100" t="s">
        <v>265</v>
      </c>
      <c r="B100" t="s">
        <v>266</v>
      </c>
      <c r="C100" t="s">
        <v>75</v>
      </c>
      <c r="D100" t="s">
        <v>76</v>
      </c>
      <c r="AX100">
        <v>52.9</v>
      </c>
      <c r="AY100">
        <v>55.7</v>
      </c>
      <c r="AZ100">
        <v>61.3</v>
      </c>
      <c r="BA100">
        <v>64</v>
      </c>
      <c r="BB100">
        <v>66.400000000000006</v>
      </c>
      <c r="BC100">
        <v>69</v>
      </c>
      <c r="BD100">
        <v>70.400000000000006</v>
      </c>
      <c r="BE100">
        <v>73.7</v>
      </c>
      <c r="BF100">
        <v>75.099999999999994</v>
      </c>
      <c r="BG100">
        <v>77</v>
      </c>
      <c r="BH100">
        <v>78.3</v>
      </c>
      <c r="BI100">
        <v>82.5</v>
      </c>
      <c r="BJ100">
        <v>84.2</v>
      </c>
      <c r="BK100">
        <v>86.3</v>
      </c>
      <c r="BL100">
        <v>87.5</v>
      </c>
      <c r="BM100">
        <v>88.4</v>
      </c>
      <c r="BN100">
        <v>90</v>
      </c>
      <c r="BO100">
        <v>91</v>
      </c>
      <c r="BP100">
        <v>91.9</v>
      </c>
      <c r="BQ100">
        <v>93</v>
      </c>
      <c r="BR100">
        <v>94.2</v>
      </c>
    </row>
    <row r="101" spans="1:70">
      <c r="A101" t="s">
        <v>267</v>
      </c>
      <c r="B101" t="s">
        <v>268</v>
      </c>
      <c r="C101" t="s">
        <v>75</v>
      </c>
      <c r="D101" t="s">
        <v>76</v>
      </c>
      <c r="AI101">
        <v>0</v>
      </c>
      <c r="AJ101">
        <v>0.121</v>
      </c>
      <c r="AK101">
        <v>0.85</v>
      </c>
      <c r="AL101">
        <v>1.33</v>
      </c>
      <c r="AM101">
        <v>2.78</v>
      </c>
      <c r="AN101">
        <v>3.22</v>
      </c>
      <c r="AO101">
        <v>4.75</v>
      </c>
      <c r="AP101">
        <v>10.5</v>
      </c>
      <c r="AQ101">
        <v>14.5</v>
      </c>
      <c r="AR101">
        <v>21.2</v>
      </c>
      <c r="AS101">
        <v>27.827760681258098</v>
      </c>
      <c r="AT101">
        <v>38.671403230956898</v>
      </c>
      <c r="AU101">
        <v>43.082383027890899</v>
      </c>
      <c r="AV101">
        <v>52.200043349740398</v>
      </c>
      <c r="AW101">
        <v>56.399880393533302</v>
      </c>
      <c r="AX101">
        <v>56.9</v>
      </c>
      <c r="AY101">
        <v>60.8</v>
      </c>
      <c r="AZ101">
        <v>64.8</v>
      </c>
      <c r="BA101">
        <v>66.7</v>
      </c>
      <c r="BB101">
        <v>69.400000000000006</v>
      </c>
      <c r="BC101">
        <v>72</v>
      </c>
      <c r="BD101">
        <v>72.199996949999999</v>
      </c>
      <c r="BE101">
        <v>72.900000000000006</v>
      </c>
      <c r="BF101">
        <v>74.2</v>
      </c>
      <c r="BG101">
        <v>79.866270430906397</v>
      </c>
      <c r="BH101">
        <v>84.948352963406194</v>
      </c>
      <c r="BI101">
        <v>87.47941467087</v>
      </c>
      <c r="BJ101">
        <v>89.415944648756494</v>
      </c>
      <c r="BK101">
        <v>90.507395329428306</v>
      </c>
      <c r="BL101">
        <v>91.743400389158694</v>
      </c>
      <c r="BM101">
        <v>92.413136019999996</v>
      </c>
      <c r="BN101">
        <v>93.087157880000007</v>
      </c>
      <c r="BO101">
        <v>95.613570519999996</v>
      </c>
      <c r="BP101">
        <v>95.977819080000003</v>
      </c>
      <c r="BQ101">
        <v>95.755369709999997</v>
      </c>
    </row>
    <row r="102" spans="1:70">
      <c r="A102" t="s">
        <v>269</v>
      </c>
      <c r="B102" t="s">
        <v>270</v>
      </c>
      <c r="C102" t="s">
        <v>75</v>
      </c>
      <c r="D102" t="s">
        <v>76</v>
      </c>
      <c r="AI102">
        <v>0</v>
      </c>
      <c r="AN102">
        <v>3.6799999999999999E-2</v>
      </c>
      <c r="AO102">
        <v>4.3700000000000003E-2</v>
      </c>
      <c r="AP102">
        <v>0.17099999999999999</v>
      </c>
      <c r="AQ102">
        <v>0.30099999999999999</v>
      </c>
      <c r="AR102">
        <v>0.57400000000000007</v>
      </c>
      <c r="AS102">
        <v>1.20385599891878</v>
      </c>
      <c r="AT102">
        <v>1.4152819312371101</v>
      </c>
      <c r="AU102">
        <v>2.5974025974026</v>
      </c>
      <c r="AV102">
        <v>4.8</v>
      </c>
      <c r="AW102">
        <v>5.6</v>
      </c>
      <c r="AX102">
        <v>6.5</v>
      </c>
      <c r="AY102">
        <v>7.8000001909999996</v>
      </c>
      <c r="AZ102">
        <v>9.3999996190000008</v>
      </c>
      <c r="BA102">
        <v>9.6</v>
      </c>
      <c r="BB102">
        <v>9.8000001910000005</v>
      </c>
      <c r="BC102">
        <v>11.09</v>
      </c>
      <c r="BD102">
        <v>15.9</v>
      </c>
      <c r="BE102">
        <v>18.12</v>
      </c>
      <c r="BF102">
        <v>17.8</v>
      </c>
      <c r="BG102">
        <v>23</v>
      </c>
      <c r="BH102">
        <v>27.139545483377599</v>
      </c>
      <c r="BI102">
        <v>29.528218079645701</v>
      </c>
      <c r="BJ102">
        <v>31.735792466148499</v>
      </c>
      <c r="BK102">
        <v>36.040060823146803</v>
      </c>
      <c r="BL102">
        <v>39.388352185011101</v>
      </c>
      <c r="BM102">
        <v>45.248298650000002</v>
      </c>
      <c r="BN102">
        <v>51.951599119999997</v>
      </c>
      <c r="BO102">
        <v>56.880699159999999</v>
      </c>
      <c r="BP102">
        <v>58.0685997</v>
      </c>
      <c r="BQ102">
        <v>58.622699740000002</v>
      </c>
    </row>
    <row r="103" spans="1:70">
      <c r="A103" t="s">
        <v>271</v>
      </c>
      <c r="B103" t="s">
        <v>272</v>
      </c>
      <c r="C103" t="s">
        <v>75</v>
      </c>
      <c r="D103" t="s">
        <v>76</v>
      </c>
    </row>
    <row r="104" spans="1:70">
      <c r="A104" t="s">
        <v>273</v>
      </c>
      <c r="B104" t="s">
        <v>274</v>
      </c>
      <c r="C104" t="s">
        <v>75</v>
      </c>
      <c r="D104" t="s">
        <v>76</v>
      </c>
      <c r="AI104">
        <v>0</v>
      </c>
      <c r="AL104">
        <v>9.7199999999999995E-2</v>
      </c>
      <c r="AM104">
        <v>0.26800000000000002</v>
      </c>
      <c r="AN104">
        <v>0.51400000000000001</v>
      </c>
      <c r="AO104">
        <v>0.85899999999999999</v>
      </c>
      <c r="AP104">
        <v>1.73</v>
      </c>
      <c r="AQ104">
        <v>3.27</v>
      </c>
      <c r="AR104">
        <v>4.41</v>
      </c>
      <c r="AS104">
        <v>6.64488254374396</v>
      </c>
      <c r="AT104">
        <v>11.5585731811648</v>
      </c>
      <c r="AU104">
        <v>17.760000000000002</v>
      </c>
      <c r="AV104">
        <v>22.75</v>
      </c>
      <c r="AW104">
        <v>30.91</v>
      </c>
      <c r="AX104">
        <v>33.13999939</v>
      </c>
      <c r="AY104">
        <v>37.979999540000001</v>
      </c>
      <c r="AZ104">
        <v>41.44</v>
      </c>
      <c r="BA104">
        <v>44.24</v>
      </c>
      <c r="BB104">
        <v>50.58</v>
      </c>
      <c r="BC104">
        <v>56.55</v>
      </c>
      <c r="BD104">
        <v>57.789978989144402</v>
      </c>
      <c r="BE104">
        <v>61.939973152795602</v>
      </c>
      <c r="BF104">
        <v>66.747600000000006</v>
      </c>
      <c r="BG104">
        <v>68.567899252846701</v>
      </c>
      <c r="BH104">
        <v>69.845035923828107</v>
      </c>
      <c r="BI104">
        <v>72.697269670146298</v>
      </c>
      <c r="BJ104">
        <v>67.096192036847796</v>
      </c>
      <c r="BK104">
        <v>75.294625989725802</v>
      </c>
      <c r="BL104">
        <v>79.079783675755394</v>
      </c>
      <c r="BM104">
        <v>78.320900039999998</v>
      </c>
      <c r="BN104">
        <v>81.253966079999998</v>
      </c>
      <c r="BO104">
        <v>82.071555320000002</v>
      </c>
      <c r="BP104">
        <v>83.241175990000002</v>
      </c>
      <c r="BQ104">
        <v>83.632400290000007</v>
      </c>
    </row>
    <row r="105" spans="1:70">
      <c r="A105" t="s">
        <v>275</v>
      </c>
      <c r="B105" t="s">
        <v>276</v>
      </c>
      <c r="C105" t="s">
        <v>75</v>
      </c>
      <c r="D105" t="s">
        <v>76</v>
      </c>
      <c r="AI105">
        <v>0</v>
      </c>
      <c r="AO105">
        <v>7.4800000000000005E-3</v>
      </c>
      <c r="AQ105">
        <v>2.4E-2</v>
      </c>
      <c r="AR105">
        <v>7.0699999999999999E-2</v>
      </c>
      <c r="AS105">
        <v>0.23127071462882101</v>
      </c>
      <c r="AT105">
        <v>0.34083232617380899</v>
      </c>
      <c r="AU105">
        <v>0.89343298833790796</v>
      </c>
      <c r="AV105">
        <v>1.64735834557778</v>
      </c>
      <c r="AW105">
        <v>5.4012619076219996</v>
      </c>
      <c r="AX105">
        <v>6.3762001990000003</v>
      </c>
      <c r="AY105">
        <v>6.7960000039999997</v>
      </c>
      <c r="AZ105">
        <v>7.1999998090000004</v>
      </c>
      <c r="BA105">
        <v>7.5999999049999998</v>
      </c>
      <c r="BB105">
        <v>8.1000003809999992</v>
      </c>
      <c r="BC105">
        <v>8.3699998860000004</v>
      </c>
      <c r="BD105">
        <v>9</v>
      </c>
      <c r="BE105">
        <v>9.8000001910000005</v>
      </c>
      <c r="BF105">
        <v>10.600000380000001</v>
      </c>
      <c r="BG105">
        <v>11.399999619999999</v>
      </c>
      <c r="BH105">
        <v>14.19999981</v>
      </c>
      <c r="BI105">
        <v>22.799999239999998</v>
      </c>
      <c r="BJ105">
        <v>27.200000760000002</v>
      </c>
      <c r="BK105">
        <v>32.473627130055696</v>
      </c>
      <c r="BL105">
        <v>35.764099119999997</v>
      </c>
      <c r="BM105">
        <v>39.388099670000003</v>
      </c>
      <c r="BN105">
        <v>43.379199980000003</v>
      </c>
      <c r="BO105">
        <v>47.774700160000002</v>
      </c>
      <c r="BP105">
        <v>47.992698670000003</v>
      </c>
      <c r="BQ105">
        <v>47.861400600000003</v>
      </c>
    </row>
    <row r="106" spans="1:70">
      <c r="A106" t="s">
        <v>277</v>
      </c>
      <c r="B106" t="s">
        <v>278</v>
      </c>
      <c r="C106" t="s">
        <v>75</v>
      </c>
      <c r="D106" t="s">
        <v>76</v>
      </c>
      <c r="AI106">
        <v>0</v>
      </c>
      <c r="AJ106">
        <v>3.3800000000000002E-3</v>
      </c>
      <c r="AK106">
        <v>4.8399999999999999E-2</v>
      </c>
      <c r="AL106">
        <v>0.193</v>
      </c>
      <c r="AM106">
        <v>0.48399999999999999</v>
      </c>
      <c r="AN106">
        <v>0.67700000000000005</v>
      </c>
      <c r="AO106">
        <v>0.96900000000000008</v>
      </c>
      <c r="AP106">
        <v>1.94</v>
      </c>
      <c r="AQ106">
        <v>3.89</v>
      </c>
      <c r="AR106">
        <v>5.86</v>
      </c>
      <c r="AS106">
        <v>6.9996763506291604</v>
      </c>
      <c r="AT106">
        <v>14.5285543028277</v>
      </c>
      <c r="AU106">
        <v>16.670000000000002</v>
      </c>
      <c r="AV106">
        <v>21.63</v>
      </c>
      <c r="AW106">
        <v>27.74</v>
      </c>
      <c r="AX106">
        <v>38.97</v>
      </c>
      <c r="AY106">
        <v>47.06</v>
      </c>
      <c r="AZ106">
        <v>53.3</v>
      </c>
      <c r="BA106">
        <v>61</v>
      </c>
      <c r="BB106">
        <v>62</v>
      </c>
      <c r="BC106">
        <v>65</v>
      </c>
      <c r="BD106">
        <v>68.019987886129599</v>
      </c>
      <c r="BE106">
        <v>70.579998153838005</v>
      </c>
      <c r="BF106">
        <v>72.643900000000002</v>
      </c>
      <c r="BG106">
        <v>75.653197454410304</v>
      </c>
      <c r="BH106">
        <v>72.834737032380502</v>
      </c>
      <c r="BI106">
        <v>79.259412127305694</v>
      </c>
      <c r="BJ106">
        <v>76.750547120192195</v>
      </c>
      <c r="BK106">
        <v>76.074360636506299</v>
      </c>
      <c r="BL106">
        <v>80.371693605048193</v>
      </c>
      <c r="BM106">
        <v>84.771152020000002</v>
      </c>
      <c r="BN106">
        <v>88.640834659999996</v>
      </c>
      <c r="BO106">
        <v>89.142826880000001</v>
      </c>
      <c r="BP106">
        <v>91.450071300000005</v>
      </c>
      <c r="BQ106">
        <v>93.778986279999998</v>
      </c>
    </row>
    <row r="107" spans="1:70">
      <c r="A107" t="s">
        <v>279</v>
      </c>
      <c r="B107" t="s">
        <v>280</v>
      </c>
      <c r="C107" t="s">
        <v>75</v>
      </c>
      <c r="D107" t="s">
        <v>76</v>
      </c>
      <c r="AX107">
        <v>8.6999999999999993</v>
      </c>
      <c r="AY107">
        <v>10.5</v>
      </c>
      <c r="AZ107">
        <v>13.7</v>
      </c>
      <c r="BA107">
        <v>17.100000000000001</v>
      </c>
      <c r="BB107">
        <v>20.7</v>
      </c>
      <c r="BC107">
        <v>25</v>
      </c>
      <c r="BD107">
        <v>28.5</v>
      </c>
      <c r="BE107">
        <v>31.5</v>
      </c>
      <c r="BF107">
        <v>34</v>
      </c>
      <c r="BG107">
        <v>36.4</v>
      </c>
      <c r="BH107">
        <v>39.1</v>
      </c>
      <c r="BI107">
        <v>43.2</v>
      </c>
      <c r="BJ107">
        <v>46.6</v>
      </c>
      <c r="BK107">
        <v>50.3</v>
      </c>
      <c r="BL107">
        <v>56.3</v>
      </c>
      <c r="BM107">
        <v>65.400000000000006</v>
      </c>
      <c r="BN107">
        <v>70.3</v>
      </c>
      <c r="BO107">
        <v>74.400000000000006</v>
      </c>
      <c r="BP107">
        <v>77.3</v>
      </c>
      <c r="BQ107">
        <v>79.900000000000006</v>
      </c>
      <c r="BR107">
        <v>82.7</v>
      </c>
    </row>
    <row r="108" spans="1:70">
      <c r="A108" t="s">
        <v>281</v>
      </c>
      <c r="B108" t="s">
        <v>282</v>
      </c>
      <c r="C108" t="s">
        <v>75</v>
      </c>
      <c r="D108" t="s">
        <v>76</v>
      </c>
      <c r="AX108">
        <v>7.2</v>
      </c>
      <c r="AY108">
        <v>8.6999999999999993</v>
      </c>
      <c r="AZ108">
        <v>11.3</v>
      </c>
      <c r="BA108">
        <v>14</v>
      </c>
      <c r="BB108">
        <v>16.899999999999999</v>
      </c>
      <c r="BC108">
        <v>20.3</v>
      </c>
      <c r="BD108">
        <v>23.2</v>
      </c>
      <c r="BE108">
        <v>25.7</v>
      </c>
      <c r="BF108">
        <v>27.8</v>
      </c>
      <c r="BG108">
        <v>30.1</v>
      </c>
      <c r="BH108">
        <v>32.799999999999997</v>
      </c>
      <c r="BI108">
        <v>36.4</v>
      </c>
      <c r="BJ108">
        <v>39.5</v>
      </c>
      <c r="BK108">
        <v>42.9</v>
      </c>
      <c r="BL108">
        <v>47.8</v>
      </c>
      <c r="BM108">
        <v>55.1</v>
      </c>
      <c r="BN108">
        <v>59.3</v>
      </c>
      <c r="BO108">
        <v>63</v>
      </c>
      <c r="BP108">
        <v>65.5</v>
      </c>
      <c r="BQ108">
        <v>67.7</v>
      </c>
      <c r="BR108">
        <v>70.3</v>
      </c>
    </row>
    <row r="109" spans="1:70">
      <c r="A109" t="s">
        <v>283</v>
      </c>
      <c r="B109" t="s">
        <v>284</v>
      </c>
      <c r="C109" t="s">
        <v>75</v>
      </c>
      <c r="D109" t="s">
        <v>76</v>
      </c>
      <c r="AX109">
        <v>2.2000000000000002</v>
      </c>
      <c r="AY109">
        <v>2.8</v>
      </c>
      <c r="AZ109">
        <v>3.7</v>
      </c>
      <c r="BA109">
        <v>4.2</v>
      </c>
      <c r="BB109">
        <v>4.9000000000000004</v>
      </c>
      <c r="BC109">
        <v>5.9</v>
      </c>
      <c r="BD109">
        <v>6.8</v>
      </c>
      <c r="BE109">
        <v>7.9</v>
      </c>
      <c r="BF109">
        <v>9.4</v>
      </c>
      <c r="BG109">
        <v>11.6</v>
      </c>
      <c r="BH109">
        <v>14.2</v>
      </c>
      <c r="BI109">
        <v>16.899999999999999</v>
      </c>
      <c r="BJ109">
        <v>19.2</v>
      </c>
      <c r="BK109">
        <v>22</v>
      </c>
      <c r="BL109">
        <v>24.2</v>
      </c>
      <c r="BM109">
        <v>27</v>
      </c>
      <c r="BN109">
        <v>29.8</v>
      </c>
      <c r="BO109">
        <v>32.799999999999997</v>
      </c>
      <c r="BP109">
        <v>34.5</v>
      </c>
      <c r="BQ109">
        <v>36.4</v>
      </c>
      <c r="BR109">
        <v>38.9</v>
      </c>
    </row>
    <row r="110" spans="1:70">
      <c r="A110" t="s">
        <v>285</v>
      </c>
      <c r="B110" t="s">
        <v>286</v>
      </c>
      <c r="C110" t="s">
        <v>75</v>
      </c>
      <c r="D110" t="s">
        <v>76</v>
      </c>
      <c r="AX110">
        <v>4.4000000000000004</v>
      </c>
      <c r="AY110">
        <v>5.4</v>
      </c>
      <c r="AZ110">
        <v>6.1</v>
      </c>
      <c r="BA110">
        <v>6.8</v>
      </c>
      <c r="BB110">
        <v>7.7</v>
      </c>
      <c r="BC110">
        <v>9.1</v>
      </c>
      <c r="BD110">
        <v>10.3</v>
      </c>
      <c r="BE110">
        <v>11.8</v>
      </c>
      <c r="BF110">
        <v>13.9</v>
      </c>
      <c r="BG110">
        <v>16.100000000000001</v>
      </c>
      <c r="BH110">
        <v>19</v>
      </c>
      <c r="BI110">
        <v>20.6</v>
      </c>
      <c r="BJ110">
        <v>22.3</v>
      </c>
      <c r="BK110">
        <v>24.1</v>
      </c>
      <c r="BL110">
        <v>26.9</v>
      </c>
      <c r="BM110">
        <v>28.7</v>
      </c>
      <c r="BN110">
        <v>32.4</v>
      </c>
      <c r="BO110">
        <v>36.5</v>
      </c>
      <c r="BP110">
        <v>38.299999999999997</v>
      </c>
      <c r="BQ110">
        <v>41.2</v>
      </c>
      <c r="BR110">
        <v>44.2</v>
      </c>
    </row>
    <row r="111" spans="1:70">
      <c r="A111" t="s">
        <v>287</v>
      </c>
      <c r="B111" t="s">
        <v>288</v>
      </c>
      <c r="C111" t="s">
        <v>75</v>
      </c>
      <c r="D111" t="s">
        <v>76</v>
      </c>
      <c r="AI111">
        <v>0</v>
      </c>
      <c r="AM111">
        <v>1.06E-3</v>
      </c>
      <c r="AN111">
        <v>2.6100000000000002E-2</v>
      </c>
      <c r="AO111">
        <v>5.6599999999999998E-2</v>
      </c>
      <c r="AP111">
        <v>0.19500000000000001</v>
      </c>
      <c r="AQ111">
        <v>0.255</v>
      </c>
      <c r="AR111">
        <v>0.44400000000000006</v>
      </c>
      <c r="AS111">
        <v>0.92556386446685801</v>
      </c>
      <c r="AT111">
        <v>2.0186138594845899</v>
      </c>
      <c r="AU111">
        <v>2.1341357329580801</v>
      </c>
      <c r="AV111">
        <v>2.3870197795947599</v>
      </c>
      <c r="AW111">
        <v>2.6002858763341399</v>
      </c>
      <c r="AX111">
        <v>3.6020247625964599</v>
      </c>
      <c r="AY111">
        <v>4.7648131336665704</v>
      </c>
      <c r="AZ111">
        <v>5.7862747293419901</v>
      </c>
      <c r="BA111">
        <v>7.9175000190000002</v>
      </c>
      <c r="BB111">
        <v>6.92</v>
      </c>
      <c r="BC111">
        <v>10.92</v>
      </c>
      <c r="BD111">
        <v>12.28</v>
      </c>
      <c r="BE111">
        <v>14.52</v>
      </c>
      <c r="BF111">
        <v>14.94</v>
      </c>
      <c r="BG111">
        <v>17.143159835056601</v>
      </c>
      <c r="BH111">
        <v>22.062742603379</v>
      </c>
      <c r="BI111">
        <v>25.447353701827002</v>
      </c>
      <c r="BJ111">
        <v>32.335806250688002</v>
      </c>
      <c r="BK111">
        <v>39.904638638576202</v>
      </c>
      <c r="BL111">
        <v>47.690648978837501</v>
      </c>
      <c r="BM111">
        <v>53.72649449</v>
      </c>
      <c r="BN111">
        <v>62.10447842</v>
      </c>
      <c r="BO111">
        <v>66.484612769999998</v>
      </c>
      <c r="BP111">
        <v>69.208365540000003</v>
      </c>
      <c r="BQ111">
        <v>72.780755439999993</v>
      </c>
    </row>
    <row r="112" spans="1:70">
      <c r="A112" t="s">
        <v>289</v>
      </c>
      <c r="B112" t="s">
        <v>290</v>
      </c>
      <c r="C112" t="s">
        <v>75</v>
      </c>
      <c r="D112" t="s">
        <v>76</v>
      </c>
      <c r="AX112">
        <v>1</v>
      </c>
      <c r="AY112">
        <v>1.5</v>
      </c>
      <c r="AZ112">
        <v>2.2999999999999998</v>
      </c>
      <c r="BA112">
        <v>2.8</v>
      </c>
      <c r="BB112">
        <v>3.4</v>
      </c>
      <c r="BC112">
        <v>4.2</v>
      </c>
      <c r="BD112">
        <v>5</v>
      </c>
      <c r="BE112">
        <v>5.8</v>
      </c>
      <c r="BF112">
        <v>6.9</v>
      </c>
      <c r="BG112">
        <v>9</v>
      </c>
      <c r="BH112">
        <v>11.6</v>
      </c>
      <c r="BI112">
        <v>14.9</v>
      </c>
      <c r="BJ112">
        <v>17.5</v>
      </c>
      <c r="BK112">
        <v>20.9</v>
      </c>
      <c r="BL112">
        <v>22.8</v>
      </c>
      <c r="BM112">
        <v>26</v>
      </c>
      <c r="BN112">
        <v>28.4</v>
      </c>
      <c r="BO112">
        <v>30.7</v>
      </c>
      <c r="BP112">
        <v>32.5</v>
      </c>
      <c r="BQ112">
        <v>33.9</v>
      </c>
      <c r="BR112">
        <v>36.1</v>
      </c>
    </row>
    <row r="113" spans="1:70">
      <c r="A113" t="s">
        <v>291</v>
      </c>
      <c r="B113" t="s">
        <v>292</v>
      </c>
      <c r="C113" t="s">
        <v>75</v>
      </c>
      <c r="D113" t="s">
        <v>76</v>
      </c>
    </row>
    <row r="114" spans="1:70">
      <c r="A114" t="s">
        <v>293</v>
      </c>
      <c r="B114" t="s">
        <v>294</v>
      </c>
      <c r="C114" t="s">
        <v>75</v>
      </c>
      <c r="D114" t="s">
        <v>76</v>
      </c>
      <c r="AI114">
        <v>0</v>
      </c>
      <c r="AK114">
        <v>1.11E-4</v>
      </c>
      <c r="AL114">
        <v>2.1799999999999999E-4</v>
      </c>
      <c r="AM114">
        <v>1.07E-3</v>
      </c>
      <c r="AN114">
        <v>2.6200000000000001E-2</v>
      </c>
      <c r="AO114">
        <v>4.6300000000000001E-2</v>
      </c>
      <c r="AP114">
        <v>7.0800000000000002E-2</v>
      </c>
      <c r="AQ114">
        <v>0.13899999999999998</v>
      </c>
      <c r="AR114">
        <v>0.27299999999999996</v>
      </c>
      <c r="AS114">
        <v>0.52753244993094595</v>
      </c>
      <c r="AT114">
        <v>0.66014637700992795</v>
      </c>
      <c r="AU114">
        <v>1.5378755817508301</v>
      </c>
      <c r="AV114">
        <v>1.6864899706362499</v>
      </c>
      <c r="AW114">
        <v>1.9761364919055899</v>
      </c>
      <c r="AX114">
        <v>2.3880999090000001</v>
      </c>
      <c r="AY114">
        <v>2.80549986534254</v>
      </c>
      <c r="AZ114">
        <v>3.95</v>
      </c>
      <c r="BA114">
        <v>4.38</v>
      </c>
      <c r="BB114">
        <v>5.12</v>
      </c>
      <c r="BC114">
        <v>7.5</v>
      </c>
      <c r="BD114">
        <v>10.07</v>
      </c>
      <c r="BE114">
        <v>11.100000380000001</v>
      </c>
      <c r="BF114">
        <v>12.30000019</v>
      </c>
      <c r="BG114">
        <v>13.5</v>
      </c>
      <c r="BH114">
        <v>14.899999620000001</v>
      </c>
      <c r="BI114">
        <v>16.5</v>
      </c>
      <c r="BJ114">
        <v>18.200000760000002</v>
      </c>
      <c r="BK114">
        <v>20.081300037938401</v>
      </c>
      <c r="BL114">
        <v>29.523500439999999</v>
      </c>
      <c r="BM114">
        <v>43.405443130000002</v>
      </c>
      <c r="BN114">
        <v>49.258098599999997</v>
      </c>
      <c r="BO114">
        <v>55.9</v>
      </c>
      <c r="BP114">
        <v>60.252300259999998</v>
      </c>
      <c r="BQ114">
        <v>64.943496699999997</v>
      </c>
      <c r="BR114">
        <v>70</v>
      </c>
    </row>
    <row r="115" spans="1:70">
      <c r="A115" t="s">
        <v>295</v>
      </c>
      <c r="B115" t="s">
        <v>296</v>
      </c>
      <c r="C115" t="s">
        <v>75</v>
      </c>
      <c r="D115" t="s">
        <v>76</v>
      </c>
    </row>
    <row r="116" spans="1:70">
      <c r="A116" t="s">
        <v>297</v>
      </c>
      <c r="B116" t="s">
        <v>298</v>
      </c>
      <c r="C116" t="s">
        <v>75</v>
      </c>
      <c r="D116" t="s">
        <v>76</v>
      </c>
      <c r="AI116">
        <v>0</v>
      </c>
      <c r="AJ116">
        <v>5.6800000000000003E-2</v>
      </c>
      <c r="AK116">
        <v>0.17</v>
      </c>
      <c r="AL116">
        <v>0.28100000000000003</v>
      </c>
      <c r="AM116">
        <v>0.55799999999999994</v>
      </c>
      <c r="AN116">
        <v>1.1100000000000001</v>
      </c>
      <c r="AO116">
        <v>2.2000000000000002</v>
      </c>
      <c r="AP116">
        <v>4.09</v>
      </c>
      <c r="AQ116">
        <v>8.1</v>
      </c>
      <c r="AR116">
        <v>10.9</v>
      </c>
      <c r="AS116">
        <v>17.850467240580699</v>
      </c>
      <c r="AT116">
        <v>23.1388121904053</v>
      </c>
      <c r="AU116">
        <v>25.85</v>
      </c>
      <c r="AV116">
        <v>34.31</v>
      </c>
      <c r="AW116">
        <v>36.99</v>
      </c>
      <c r="AX116">
        <v>41.61</v>
      </c>
      <c r="AY116">
        <v>54.82</v>
      </c>
      <c r="AZ116">
        <v>61.158324551</v>
      </c>
      <c r="BA116">
        <v>65.34</v>
      </c>
      <c r="BB116">
        <v>67.38</v>
      </c>
      <c r="BC116">
        <v>69.849999999999994</v>
      </c>
      <c r="BD116">
        <v>74.889972967094394</v>
      </c>
      <c r="BE116">
        <v>76.919992540096999</v>
      </c>
      <c r="BF116">
        <v>78.247699999999995</v>
      </c>
      <c r="BG116">
        <v>83.491722335172796</v>
      </c>
      <c r="BH116">
        <v>83.4947916666667</v>
      </c>
      <c r="BI116">
        <v>83.5</v>
      </c>
      <c r="BJ116">
        <v>84.114007062384403</v>
      </c>
      <c r="BK116">
        <v>87.000140114894194</v>
      </c>
      <c r="BL116">
        <v>87.000055242514605</v>
      </c>
      <c r="BM116">
        <v>91.999890969999996</v>
      </c>
      <c r="BN116">
        <v>93.506103519999996</v>
      </c>
      <c r="BO116">
        <v>95.036903379999998</v>
      </c>
      <c r="BP116">
        <v>96.866096499999998</v>
      </c>
      <c r="BQ116">
        <v>97.187698359999999</v>
      </c>
    </row>
    <row r="117" spans="1:70">
      <c r="A117" t="s">
        <v>299</v>
      </c>
      <c r="B117" t="s">
        <v>300</v>
      </c>
      <c r="C117" t="s">
        <v>75</v>
      </c>
      <c r="D117" t="s">
        <v>76</v>
      </c>
      <c r="AI117">
        <v>0</v>
      </c>
      <c r="AM117">
        <v>4.08E-4</v>
      </c>
      <c r="AN117">
        <v>4.1799999999999997E-3</v>
      </c>
      <c r="AO117">
        <v>1.5799999999999998E-2</v>
      </c>
      <c r="AP117">
        <v>4.6800000000000001E-2</v>
      </c>
      <c r="AQ117">
        <v>9.98E-2</v>
      </c>
      <c r="AR117">
        <v>0.379</v>
      </c>
      <c r="AS117">
        <v>0.93419001995982898</v>
      </c>
      <c r="AT117">
        <v>1.4842213316336299</v>
      </c>
      <c r="AU117">
        <v>4.6261751149220496</v>
      </c>
      <c r="AV117">
        <v>6.9337219530405303</v>
      </c>
      <c r="AW117">
        <v>7.49</v>
      </c>
      <c r="AX117">
        <v>8.1000003809999992</v>
      </c>
      <c r="AY117">
        <v>8.7600002289999992</v>
      </c>
      <c r="AZ117">
        <v>9.4700002669999996</v>
      </c>
      <c r="BA117">
        <v>12.02</v>
      </c>
      <c r="BB117">
        <v>13.80000019</v>
      </c>
      <c r="BC117">
        <v>15.9</v>
      </c>
      <c r="BD117">
        <v>19</v>
      </c>
      <c r="BE117">
        <v>22.73</v>
      </c>
      <c r="BF117">
        <v>29.95</v>
      </c>
      <c r="BG117">
        <v>39.353614505223</v>
      </c>
      <c r="BH117">
        <v>45.334976153328498</v>
      </c>
      <c r="BI117">
        <v>53.226771670985698</v>
      </c>
      <c r="BJ117">
        <v>64.043973624951306</v>
      </c>
      <c r="BK117">
        <v>70.200565000836306</v>
      </c>
      <c r="BL117">
        <v>72.450904767206495</v>
      </c>
      <c r="BM117">
        <v>75.56986637</v>
      </c>
      <c r="BN117">
        <v>78.595736599999995</v>
      </c>
      <c r="BO117">
        <v>81.716499330000005</v>
      </c>
      <c r="BP117">
        <v>83.71050262</v>
      </c>
      <c r="BQ117">
        <v>85.340400700000004</v>
      </c>
    </row>
    <row r="118" spans="1:70">
      <c r="A118" t="s">
        <v>301</v>
      </c>
      <c r="B118" t="s">
        <v>302</v>
      </c>
      <c r="C118" t="s">
        <v>75</v>
      </c>
      <c r="D118" t="s">
        <v>76</v>
      </c>
      <c r="AI118">
        <v>0</v>
      </c>
      <c r="AT118">
        <v>0.1</v>
      </c>
      <c r="AU118">
        <v>0.5</v>
      </c>
      <c r="AV118">
        <v>0.6</v>
      </c>
      <c r="AW118">
        <v>0.9</v>
      </c>
      <c r="AX118">
        <v>0.89999997600000003</v>
      </c>
      <c r="AY118">
        <v>0.95234424383919003</v>
      </c>
      <c r="AZ118">
        <v>0.93</v>
      </c>
      <c r="BA118">
        <v>1</v>
      </c>
      <c r="BB118">
        <v>1.06</v>
      </c>
      <c r="BC118">
        <v>2.5</v>
      </c>
      <c r="BD118">
        <v>5</v>
      </c>
      <c r="BE118">
        <v>7.0999999049999998</v>
      </c>
      <c r="BF118">
        <v>9.1999998089999995</v>
      </c>
      <c r="BG118">
        <v>11.645326730454499</v>
      </c>
      <c r="BH118">
        <v>15.21440029</v>
      </c>
      <c r="BI118">
        <v>19.877199170000001</v>
      </c>
      <c r="BJ118">
        <v>25.969200130000001</v>
      </c>
      <c r="BK118">
        <v>33.92810059</v>
      </c>
      <c r="BL118">
        <v>44.326346551157897</v>
      </c>
      <c r="BM118">
        <v>53.677799219999997</v>
      </c>
      <c r="BN118">
        <v>65.002197269999996</v>
      </c>
      <c r="BO118">
        <v>78.715609259999994</v>
      </c>
      <c r="BP118">
        <v>81.808898929999998</v>
      </c>
      <c r="BQ118">
        <v>81.474502560000005</v>
      </c>
    </row>
    <row r="119" spans="1:70">
      <c r="A119" t="s">
        <v>303</v>
      </c>
      <c r="B119" t="s">
        <v>304</v>
      </c>
      <c r="C119" t="s">
        <v>75</v>
      </c>
      <c r="D119" t="s">
        <v>76</v>
      </c>
      <c r="AI119">
        <v>0</v>
      </c>
      <c r="AJ119">
        <v>0.505</v>
      </c>
      <c r="AK119">
        <v>1.54</v>
      </c>
      <c r="AL119">
        <v>2.67</v>
      </c>
      <c r="AM119">
        <v>6.79</v>
      </c>
      <c r="AN119">
        <v>11.2</v>
      </c>
      <c r="AO119">
        <v>14.8</v>
      </c>
      <c r="AP119">
        <v>27.5</v>
      </c>
      <c r="AQ119">
        <v>36.299999999999997</v>
      </c>
      <c r="AR119">
        <v>41.3</v>
      </c>
      <c r="AS119">
        <v>44.470533824287998</v>
      </c>
      <c r="AT119">
        <v>49.392995367642598</v>
      </c>
      <c r="AU119">
        <v>79.12</v>
      </c>
      <c r="AV119">
        <v>83.14</v>
      </c>
      <c r="AW119">
        <v>83.88</v>
      </c>
      <c r="AX119">
        <v>87</v>
      </c>
      <c r="AY119">
        <v>89.51</v>
      </c>
      <c r="AZ119">
        <v>90.6</v>
      </c>
      <c r="BA119">
        <v>91</v>
      </c>
      <c r="BB119">
        <v>93</v>
      </c>
      <c r="BC119">
        <v>93.39</v>
      </c>
      <c r="BD119">
        <v>94.8196868008949</v>
      </c>
      <c r="BE119">
        <v>96.209799554565706</v>
      </c>
      <c r="BF119">
        <v>96.546800000000005</v>
      </c>
      <c r="BG119">
        <v>98.158023309711794</v>
      </c>
      <c r="BH119">
        <v>98.199996949999999</v>
      </c>
      <c r="BI119">
        <v>98.239997860000003</v>
      </c>
      <c r="BJ119">
        <v>98.255201186797294</v>
      </c>
      <c r="BK119">
        <v>99.010953991699097</v>
      </c>
      <c r="BL119">
        <v>99.504941169378696</v>
      </c>
      <c r="BM119">
        <v>99.532751899999994</v>
      </c>
      <c r="BN119">
        <v>99.687019570000004</v>
      </c>
      <c r="BO119">
        <v>97.583396910000005</v>
      </c>
      <c r="BP119">
        <v>97.948600769999999</v>
      </c>
      <c r="BQ119">
        <v>98.209198000000001</v>
      </c>
    </row>
    <row r="120" spans="1:70">
      <c r="A120" t="s">
        <v>305</v>
      </c>
      <c r="B120" t="s">
        <v>306</v>
      </c>
      <c r="C120" t="s">
        <v>75</v>
      </c>
      <c r="D120" t="s">
        <v>76</v>
      </c>
      <c r="AI120">
        <v>0.11100000000000002</v>
      </c>
      <c r="AJ120">
        <v>0.215</v>
      </c>
      <c r="AK120">
        <v>0.311</v>
      </c>
      <c r="AL120">
        <v>0.39899999999999997</v>
      </c>
      <c r="AM120">
        <v>0.57699999999999996</v>
      </c>
      <c r="AN120">
        <v>0.93</v>
      </c>
      <c r="AO120">
        <v>2.17</v>
      </c>
      <c r="AP120">
        <v>4.4000000000000004</v>
      </c>
      <c r="AQ120">
        <v>10.3</v>
      </c>
      <c r="AR120">
        <v>13.4</v>
      </c>
      <c r="AS120">
        <v>20.8737899981674</v>
      </c>
      <c r="AT120">
        <v>17.378623863904899</v>
      </c>
      <c r="AU120">
        <v>17.7645990630493</v>
      </c>
      <c r="AV120">
        <v>19.593393657964899</v>
      </c>
      <c r="AW120">
        <v>22.770485525403501</v>
      </c>
      <c r="AX120">
        <v>25.194000240000001</v>
      </c>
      <c r="AY120">
        <v>27.8810997</v>
      </c>
      <c r="AZ120">
        <v>48.128062194844503</v>
      </c>
      <c r="BA120">
        <v>59.39</v>
      </c>
      <c r="BB120">
        <v>63.12</v>
      </c>
      <c r="BC120">
        <v>67.5</v>
      </c>
      <c r="BD120">
        <v>68.873877990744106</v>
      </c>
      <c r="BE120">
        <v>70.8</v>
      </c>
      <c r="BF120">
        <v>70.250311945000007</v>
      </c>
      <c r="BG120">
        <v>75.017753162807594</v>
      </c>
      <c r="BH120">
        <v>77.352089657225306</v>
      </c>
      <c r="BI120">
        <v>79.653124181528099</v>
      </c>
      <c r="BJ120">
        <v>81.581183587161107</v>
      </c>
      <c r="BK120">
        <v>83.7331569615326</v>
      </c>
      <c r="BL120">
        <v>86.787877618058303</v>
      </c>
      <c r="BM120">
        <v>90.127340910000001</v>
      </c>
      <c r="BN120">
        <v>90.296897580000007</v>
      </c>
      <c r="BO120">
        <v>91.850796149999994</v>
      </c>
      <c r="BP120">
        <v>87.038426150000006</v>
      </c>
      <c r="BQ120">
        <v>88.182422250000002</v>
      </c>
    </row>
    <row r="121" spans="1:70">
      <c r="A121" t="s">
        <v>307</v>
      </c>
      <c r="B121" t="s">
        <v>308</v>
      </c>
      <c r="C121" t="s">
        <v>75</v>
      </c>
      <c r="D121" t="s">
        <v>76</v>
      </c>
      <c r="AI121">
        <v>1.7500000000000002E-2</v>
      </c>
      <c r="AJ121">
        <v>3.5099999999999999E-2</v>
      </c>
      <c r="AK121">
        <v>7.0099999999999996E-2</v>
      </c>
      <c r="AL121">
        <v>0.122</v>
      </c>
      <c r="AM121">
        <v>0.192</v>
      </c>
      <c r="AN121">
        <v>0.52400000000000002</v>
      </c>
      <c r="AO121">
        <v>1.02</v>
      </c>
      <c r="AP121">
        <v>2.2799999999999998</v>
      </c>
      <c r="AQ121">
        <v>4.5599999999999996</v>
      </c>
      <c r="AR121">
        <v>14.4</v>
      </c>
      <c r="AS121">
        <v>23.110874244103702</v>
      </c>
      <c r="AT121">
        <v>27.2221169788811</v>
      </c>
      <c r="AU121">
        <v>28.04</v>
      </c>
      <c r="AV121">
        <v>29.04</v>
      </c>
      <c r="AW121">
        <v>33.24</v>
      </c>
      <c r="AX121">
        <v>35</v>
      </c>
      <c r="AY121">
        <v>37.99</v>
      </c>
      <c r="AZ121">
        <v>40.79</v>
      </c>
      <c r="BA121">
        <v>44.53</v>
      </c>
      <c r="BB121">
        <v>48.83</v>
      </c>
      <c r="BC121">
        <v>53.68</v>
      </c>
      <c r="BD121">
        <v>54.389998301881398</v>
      </c>
      <c r="BE121">
        <v>55.829997993283001</v>
      </c>
      <c r="BF121">
        <v>58.459299999999999</v>
      </c>
      <c r="BG121">
        <v>55.638460224229298</v>
      </c>
      <c r="BH121">
        <v>58.1417349568747</v>
      </c>
      <c r="BI121">
        <v>61.324252766630302</v>
      </c>
      <c r="BJ121">
        <v>63.0773469984291</v>
      </c>
      <c r="BK121">
        <v>74.3871829234822</v>
      </c>
      <c r="BL121">
        <v>67.850710287483594</v>
      </c>
      <c r="BM121">
        <v>70.483427849999998</v>
      </c>
      <c r="BN121">
        <v>74.862327399999998</v>
      </c>
      <c r="BO121">
        <v>85.06074504</v>
      </c>
      <c r="BP121">
        <v>87.027829199999999</v>
      </c>
      <c r="BQ121">
        <v>89.220720200000002</v>
      </c>
    </row>
    <row r="122" spans="1:70">
      <c r="A122" t="s">
        <v>309</v>
      </c>
      <c r="B122" t="s">
        <v>310</v>
      </c>
      <c r="C122" t="s">
        <v>75</v>
      </c>
      <c r="D122" t="s">
        <v>76</v>
      </c>
      <c r="AI122">
        <v>0</v>
      </c>
      <c r="AM122">
        <v>3.6799999999999999E-2</v>
      </c>
      <c r="AN122">
        <v>0.109</v>
      </c>
      <c r="AO122">
        <v>0.59100000000000008</v>
      </c>
      <c r="AP122">
        <v>0.79799999999999993</v>
      </c>
      <c r="AQ122">
        <v>1.98</v>
      </c>
      <c r="AR122">
        <v>2.36</v>
      </c>
      <c r="AS122">
        <v>3.1157780272996698</v>
      </c>
      <c r="AT122">
        <v>3.8630203874764</v>
      </c>
      <c r="AU122">
        <v>6.1</v>
      </c>
      <c r="AV122">
        <v>7.8</v>
      </c>
      <c r="AW122">
        <v>10</v>
      </c>
      <c r="AX122">
        <v>12.80000019</v>
      </c>
      <c r="AY122">
        <v>16.399999619999999</v>
      </c>
      <c r="AZ122">
        <v>21.100000380000001</v>
      </c>
      <c r="BA122">
        <v>23.6</v>
      </c>
      <c r="BB122">
        <v>24.3</v>
      </c>
      <c r="BC122">
        <v>27.67</v>
      </c>
      <c r="BD122">
        <v>37.438613414848</v>
      </c>
      <c r="BE122">
        <v>33.79</v>
      </c>
      <c r="BF122">
        <v>37.1</v>
      </c>
      <c r="BG122">
        <v>40.402735104667201</v>
      </c>
      <c r="BH122">
        <v>42.221221190744103</v>
      </c>
      <c r="BI122">
        <v>44.366856367133401</v>
      </c>
      <c r="BJ122">
        <v>55.072067050775097</v>
      </c>
      <c r="BK122">
        <v>68.214517087607206</v>
      </c>
      <c r="BL122">
        <v>70.841016974335602</v>
      </c>
      <c r="BM122">
        <v>76.384002690000003</v>
      </c>
      <c r="BN122">
        <v>82.36071561</v>
      </c>
      <c r="BO122">
        <v>85.843299869999996</v>
      </c>
      <c r="BP122">
        <v>89.473042820000003</v>
      </c>
      <c r="BQ122">
        <v>90.108703610000006</v>
      </c>
    </row>
    <row r="123" spans="1:70">
      <c r="A123" t="s">
        <v>311</v>
      </c>
      <c r="B123" t="s">
        <v>312</v>
      </c>
      <c r="C123" t="s">
        <v>75</v>
      </c>
      <c r="D123" t="s">
        <v>76</v>
      </c>
      <c r="AI123">
        <v>0</v>
      </c>
      <c r="AN123">
        <v>2.3199999999999998E-2</v>
      </c>
      <c r="AO123">
        <v>4.4900000000000002E-2</v>
      </c>
      <c r="AP123">
        <v>0.59899999999999998</v>
      </c>
      <c r="AQ123">
        <v>1.31</v>
      </c>
      <c r="AR123">
        <v>2.5299999999999998</v>
      </c>
      <c r="AS123">
        <v>2.62327542156362</v>
      </c>
      <c r="AT123">
        <v>4.7057195809415902</v>
      </c>
      <c r="AU123">
        <v>6.0255324119120397</v>
      </c>
      <c r="AV123">
        <v>8.4660050162393805</v>
      </c>
      <c r="AW123">
        <v>11.6587413706379</v>
      </c>
      <c r="AX123">
        <v>12.93290043</v>
      </c>
      <c r="AY123">
        <v>13.86709976</v>
      </c>
      <c r="AZ123">
        <v>20</v>
      </c>
      <c r="BA123">
        <v>23</v>
      </c>
      <c r="BB123">
        <v>26</v>
      </c>
      <c r="BC123">
        <v>27.2</v>
      </c>
      <c r="BD123">
        <v>34.9</v>
      </c>
      <c r="BE123">
        <v>37</v>
      </c>
      <c r="BF123">
        <v>41.4</v>
      </c>
      <c r="BG123">
        <v>46.2</v>
      </c>
      <c r="BH123">
        <v>54.22000122</v>
      </c>
      <c r="BI123">
        <v>56.150001529999997</v>
      </c>
      <c r="BJ123">
        <v>64.5</v>
      </c>
      <c r="BK123">
        <v>65.2</v>
      </c>
      <c r="BL123">
        <v>70.084701539999998</v>
      </c>
      <c r="BM123">
        <v>78.417800900000003</v>
      </c>
      <c r="BN123">
        <v>85.999996999999993</v>
      </c>
      <c r="BO123">
        <v>90.499998399999996</v>
      </c>
      <c r="BP123">
        <v>92.53443944</v>
      </c>
      <c r="BQ123">
        <v>95.622449849999995</v>
      </c>
    </row>
    <row r="124" spans="1:70">
      <c r="A124" t="s">
        <v>313</v>
      </c>
      <c r="B124" t="s">
        <v>314</v>
      </c>
      <c r="C124" t="s">
        <v>75</v>
      </c>
      <c r="D124" t="s">
        <v>76</v>
      </c>
      <c r="AI124">
        <v>2.0299999999999999E-2</v>
      </c>
      <c r="AJ124">
        <v>4.0399999999999998E-2</v>
      </c>
      <c r="AK124">
        <v>9.6699999999999994E-2</v>
      </c>
      <c r="AL124">
        <v>0.40099999999999997</v>
      </c>
      <c r="AM124">
        <v>0.8</v>
      </c>
      <c r="AN124">
        <v>1.59</v>
      </c>
      <c r="AO124">
        <v>4.37</v>
      </c>
      <c r="AP124">
        <v>9.16</v>
      </c>
      <c r="AQ124">
        <v>13.4</v>
      </c>
      <c r="AR124">
        <v>21.4</v>
      </c>
      <c r="AS124">
        <v>29.990740358914199</v>
      </c>
      <c r="AT124">
        <v>38.532060861271901</v>
      </c>
      <c r="AU124">
        <v>46.594201117991702</v>
      </c>
      <c r="AV124">
        <v>48.435265889965301</v>
      </c>
      <c r="AW124">
        <v>62.3939296327259</v>
      </c>
      <c r="AX124">
        <v>66.921066104290105</v>
      </c>
      <c r="AY124">
        <v>68.685270321379505</v>
      </c>
      <c r="AZ124">
        <v>74.3</v>
      </c>
      <c r="BA124">
        <v>75.400000000000006</v>
      </c>
      <c r="BB124">
        <v>78</v>
      </c>
      <c r="BC124">
        <v>78.209999999999994</v>
      </c>
      <c r="BD124">
        <v>79.054113524473905</v>
      </c>
      <c r="BE124">
        <v>79.496399999999994</v>
      </c>
      <c r="BF124">
        <v>88.219428910999994</v>
      </c>
      <c r="BG124">
        <v>89.106833016607496</v>
      </c>
      <c r="BH124">
        <v>91.058028392996206</v>
      </c>
      <c r="BI124">
        <v>93.182721282161694</v>
      </c>
      <c r="BJ124">
        <v>91.726547236663507</v>
      </c>
      <c r="BK124">
        <v>88.746350890177197</v>
      </c>
      <c r="BL124">
        <v>92.730397814552504</v>
      </c>
      <c r="BM124">
        <v>90.219458119999999</v>
      </c>
      <c r="BN124">
        <v>82.914079279999996</v>
      </c>
      <c r="BO124">
        <v>84.923431469999997</v>
      </c>
      <c r="BP124">
        <v>85.009902949999997</v>
      </c>
      <c r="BQ124">
        <v>85.541530809999998</v>
      </c>
    </row>
    <row r="125" spans="1:70">
      <c r="A125" t="s">
        <v>315</v>
      </c>
      <c r="B125" t="s">
        <v>316</v>
      </c>
      <c r="C125" t="s">
        <v>75</v>
      </c>
      <c r="D125" t="s">
        <v>76</v>
      </c>
      <c r="AI125">
        <v>0</v>
      </c>
      <c r="AM125">
        <v>5.2099999999999998E-4</v>
      </c>
      <c r="AN125">
        <v>1.1299999999999999E-2</v>
      </c>
      <c r="AO125">
        <v>3.1799999999999995E-2</v>
      </c>
      <c r="AP125">
        <v>6.4600000000000005E-2</v>
      </c>
      <c r="AQ125">
        <v>0.13100000000000001</v>
      </c>
      <c r="AR125">
        <v>0.46400000000000002</v>
      </c>
      <c r="AS125">
        <v>0.66859440262126402</v>
      </c>
      <c r="AT125">
        <v>1.00612421099739</v>
      </c>
      <c r="AU125">
        <v>1.67477099516366</v>
      </c>
      <c r="AV125">
        <v>2.0004147526587199</v>
      </c>
      <c r="AW125">
        <v>2.6503946570163999</v>
      </c>
      <c r="AX125">
        <v>2.961699963</v>
      </c>
      <c r="AY125">
        <v>3.2683999539999999</v>
      </c>
      <c r="AZ125">
        <v>4.0199999999999996</v>
      </c>
      <c r="BA125">
        <v>11</v>
      </c>
      <c r="BB125">
        <v>18.2</v>
      </c>
      <c r="BC125">
        <v>31.6</v>
      </c>
      <c r="BD125">
        <v>50.6</v>
      </c>
      <c r="BE125">
        <v>61.906627465200799</v>
      </c>
      <c r="BF125">
        <v>63.304224429999998</v>
      </c>
      <c r="BG125">
        <v>66</v>
      </c>
      <c r="BH125">
        <v>70.829933595659995</v>
      </c>
      <c r="BI125">
        <v>74.587726473573795</v>
      </c>
      <c r="BJ125">
        <v>76.4267482325439</v>
      </c>
      <c r="BK125">
        <v>78.903919057881595</v>
      </c>
      <c r="BL125">
        <v>81.877620474628401</v>
      </c>
      <c r="BM125">
        <v>85.94259898</v>
      </c>
      <c r="BN125">
        <v>90.923950700000006</v>
      </c>
      <c r="BO125">
        <v>92.296852659999999</v>
      </c>
      <c r="BP125">
        <v>92.878460959999998</v>
      </c>
      <c r="BQ125">
        <v>93.391672540000002</v>
      </c>
    </row>
    <row r="126" spans="1:70">
      <c r="A126" t="s">
        <v>317</v>
      </c>
      <c r="B126" t="s">
        <v>318</v>
      </c>
      <c r="C126" t="s">
        <v>75</v>
      </c>
      <c r="D126" t="s">
        <v>76</v>
      </c>
      <c r="AI126">
        <v>0</v>
      </c>
      <c r="AN126">
        <v>7.27E-4</v>
      </c>
      <c r="AO126">
        <v>8.8399999999999989E-3</v>
      </c>
      <c r="AP126">
        <v>3.44E-2</v>
      </c>
      <c r="AQ126">
        <v>5.0299999999999997E-2</v>
      </c>
      <c r="AR126">
        <v>0.11399999999999999</v>
      </c>
      <c r="AS126">
        <v>0.318059713612037</v>
      </c>
      <c r="AT126">
        <v>0.61978226615142495</v>
      </c>
      <c r="AU126">
        <v>1.20777388492125</v>
      </c>
      <c r="AV126">
        <v>2.9419028610152398</v>
      </c>
      <c r="AW126">
        <v>3.0235280420962001</v>
      </c>
      <c r="AX126">
        <v>3.101900101</v>
      </c>
      <c r="AY126">
        <v>3.5999999050000002</v>
      </c>
      <c r="AZ126">
        <v>4.4000000950000002</v>
      </c>
      <c r="BA126">
        <v>5.1999998090000004</v>
      </c>
      <c r="BB126">
        <v>6.1</v>
      </c>
      <c r="BC126">
        <v>7.2</v>
      </c>
      <c r="BD126">
        <v>8.8000001910000005</v>
      </c>
      <c r="BE126">
        <v>10.5</v>
      </c>
      <c r="BF126">
        <v>13</v>
      </c>
      <c r="BG126">
        <v>16.5</v>
      </c>
      <c r="BH126">
        <v>16.5878548475992</v>
      </c>
      <c r="BI126">
        <v>16.600000000000001</v>
      </c>
      <c r="BJ126">
        <v>17.82710075</v>
      </c>
      <c r="BK126">
        <v>19.5</v>
      </c>
      <c r="BL126">
        <v>22.668773361817099</v>
      </c>
      <c r="BM126">
        <v>24.722799299999998</v>
      </c>
      <c r="BN126">
        <v>26.96290016</v>
      </c>
      <c r="BO126">
        <v>29.405899049999999</v>
      </c>
      <c r="BP126">
        <v>32.070400239999998</v>
      </c>
      <c r="BQ126">
        <v>34.976225130000003</v>
      </c>
    </row>
    <row r="127" spans="1:70">
      <c r="A127" t="s">
        <v>319</v>
      </c>
      <c r="B127" t="s">
        <v>320</v>
      </c>
      <c r="C127" t="s">
        <v>75</v>
      </c>
      <c r="D127" t="s">
        <v>76</v>
      </c>
      <c r="AI127">
        <v>0</v>
      </c>
      <c r="AQ127">
        <v>7.2800000000000004E-2</v>
      </c>
      <c r="AR127">
        <v>0.20499999999999999</v>
      </c>
      <c r="AS127">
        <v>1.04140114469361</v>
      </c>
      <c r="AT127">
        <v>3.0029413271923899</v>
      </c>
      <c r="AU127">
        <v>2.99926518003089</v>
      </c>
      <c r="AV127">
        <v>3.90876626828521</v>
      </c>
      <c r="AW127">
        <v>5.0903853073286296</v>
      </c>
      <c r="AX127">
        <v>10.533800129999999</v>
      </c>
      <c r="AY127">
        <v>12.30690002</v>
      </c>
      <c r="AZ127">
        <v>14.03</v>
      </c>
      <c r="BA127">
        <v>15.69999981</v>
      </c>
      <c r="BB127">
        <v>16</v>
      </c>
      <c r="BC127">
        <v>16.299999240000002</v>
      </c>
      <c r="BD127">
        <v>17.5</v>
      </c>
      <c r="BE127">
        <v>19.799999240000002</v>
      </c>
      <c r="BF127">
        <v>23</v>
      </c>
      <c r="BG127">
        <v>28.299999240000002</v>
      </c>
      <c r="BH127">
        <v>30.24699974</v>
      </c>
      <c r="BI127">
        <v>40.526199339999998</v>
      </c>
      <c r="BJ127">
        <v>50.805301669999999</v>
      </c>
      <c r="BK127">
        <v>62.8</v>
      </c>
      <c r="BL127">
        <v>64.099999999999994</v>
      </c>
      <c r="BM127">
        <v>72</v>
      </c>
      <c r="BN127">
        <v>77.117698669999996</v>
      </c>
      <c r="BO127">
        <v>84.193702700000003</v>
      </c>
      <c r="BP127">
        <v>91.044403079999995</v>
      </c>
      <c r="BQ127">
        <v>92.028602599999999</v>
      </c>
    </row>
    <row r="128" spans="1:70">
      <c r="A128" t="s">
        <v>321</v>
      </c>
      <c r="B128" t="s">
        <v>322</v>
      </c>
      <c r="C128" t="s">
        <v>75</v>
      </c>
      <c r="D128" t="s">
        <v>76</v>
      </c>
      <c r="AI128">
        <v>0</v>
      </c>
      <c r="AP128">
        <v>5.8400000000000006E-3</v>
      </c>
      <c r="AQ128">
        <v>1.6300000000000002E-2</v>
      </c>
      <c r="AR128">
        <v>3.2000000000000001E-2</v>
      </c>
      <c r="AS128">
        <v>4.7022640068884999E-2</v>
      </c>
      <c r="AT128">
        <v>7.6956055552729594E-2</v>
      </c>
      <c r="AU128">
        <v>0.22698323766620401</v>
      </c>
      <c r="AV128">
        <v>0.26057019757400202</v>
      </c>
      <c r="AW128">
        <v>0.30043664436010098</v>
      </c>
      <c r="AX128">
        <v>0.31732178108965597</v>
      </c>
      <c r="AY128">
        <v>0.46840000199999998</v>
      </c>
      <c r="AZ128">
        <v>0.49</v>
      </c>
      <c r="BA128">
        <v>0.51</v>
      </c>
      <c r="BB128">
        <v>0.53</v>
      </c>
      <c r="BC128">
        <v>1.26</v>
      </c>
      <c r="BD128">
        <v>3.0999999050000002</v>
      </c>
      <c r="BE128">
        <v>4.9400000000000004</v>
      </c>
      <c r="BF128">
        <v>6</v>
      </c>
      <c r="BG128">
        <v>14</v>
      </c>
      <c r="BH128">
        <v>6.4331910702140496</v>
      </c>
      <c r="BI128">
        <v>32.398451714184901</v>
      </c>
      <c r="BJ128">
        <v>32.900278543798599</v>
      </c>
      <c r="BK128">
        <v>65</v>
      </c>
      <c r="BL128">
        <v>52.305878224498002</v>
      </c>
      <c r="BM128">
        <v>56.375900270000002</v>
      </c>
      <c r="BN128">
        <v>60.762699130000001</v>
      </c>
      <c r="BO128">
        <v>65.490798949999999</v>
      </c>
      <c r="BP128">
        <v>68.925498959999999</v>
      </c>
      <c r="BQ128">
        <v>68.475303650000001</v>
      </c>
    </row>
    <row r="129" spans="1:70">
      <c r="A129" t="s">
        <v>323</v>
      </c>
      <c r="B129" t="s">
        <v>324</v>
      </c>
      <c r="C129" t="s">
        <v>75</v>
      </c>
      <c r="D129" t="s">
        <v>76</v>
      </c>
      <c r="AI129">
        <v>0</v>
      </c>
      <c r="AQ129">
        <v>0.61699999999999999</v>
      </c>
      <c r="AR129">
        <v>1.21</v>
      </c>
      <c r="AS129">
        <v>1.7852254739773601</v>
      </c>
      <c r="AT129">
        <v>2.3374589483772201</v>
      </c>
      <c r="AU129">
        <v>2.5</v>
      </c>
      <c r="AV129">
        <v>3</v>
      </c>
      <c r="AW129">
        <v>3.5</v>
      </c>
      <c r="AX129">
        <v>4</v>
      </c>
      <c r="AY129">
        <v>4.5</v>
      </c>
      <c r="AZ129">
        <v>6</v>
      </c>
      <c r="BA129">
        <v>7</v>
      </c>
      <c r="BB129">
        <v>8.9700000000000006</v>
      </c>
      <c r="BC129">
        <v>9.07</v>
      </c>
      <c r="BD129">
        <v>10</v>
      </c>
      <c r="BE129">
        <v>10.74680042</v>
      </c>
      <c r="BF129">
        <v>11.5</v>
      </c>
      <c r="BG129">
        <v>12.25</v>
      </c>
      <c r="BH129">
        <v>14.899999620000001</v>
      </c>
      <c r="BI129">
        <v>19.419399259999999</v>
      </c>
      <c r="BJ129">
        <v>25.309600830000001</v>
      </c>
      <c r="BK129">
        <v>32.986400600000003</v>
      </c>
      <c r="BL129">
        <v>41.792999270000003</v>
      </c>
      <c r="BM129">
        <v>52.950901029999997</v>
      </c>
      <c r="BN129">
        <v>67.087600710000004</v>
      </c>
      <c r="BO129">
        <v>84.998497009999994</v>
      </c>
      <c r="BP129">
        <v>88</v>
      </c>
      <c r="BQ129">
        <v>89.44029999</v>
      </c>
    </row>
    <row r="130" spans="1:70">
      <c r="A130" t="s">
        <v>325</v>
      </c>
      <c r="B130" t="s">
        <v>326</v>
      </c>
      <c r="C130" t="s">
        <v>75</v>
      </c>
      <c r="D130" t="s">
        <v>76</v>
      </c>
      <c r="AI130">
        <v>0</v>
      </c>
      <c r="AO130">
        <v>1.95</v>
      </c>
      <c r="AP130">
        <v>2.2599999999999998</v>
      </c>
      <c r="AQ130">
        <v>3.34</v>
      </c>
      <c r="AR130">
        <v>4.4000000000000004</v>
      </c>
      <c r="AS130">
        <v>5.8628102403752198</v>
      </c>
      <c r="AT130">
        <v>7.7147265558031899</v>
      </c>
      <c r="AU130">
        <v>21.152381758185999</v>
      </c>
      <c r="AV130">
        <v>22.969784292843901</v>
      </c>
      <c r="AW130">
        <v>24.737677544373199</v>
      </c>
      <c r="AX130">
        <v>34</v>
      </c>
      <c r="AY130">
        <v>38.5</v>
      </c>
      <c r="AZ130">
        <v>43.5</v>
      </c>
      <c r="BA130">
        <v>49.200000760000002</v>
      </c>
      <c r="BB130">
        <v>55.700000760000002</v>
      </c>
      <c r="BC130">
        <v>63</v>
      </c>
      <c r="BD130">
        <v>63.200000760000002</v>
      </c>
      <c r="BE130">
        <v>64</v>
      </c>
      <c r="BF130">
        <v>64.599998470000003</v>
      </c>
      <c r="BG130">
        <v>65.381797789999993</v>
      </c>
      <c r="BH130">
        <v>66.173103330000004</v>
      </c>
      <c r="BI130">
        <v>66.973899840000001</v>
      </c>
      <c r="BJ130">
        <v>67.784400939999998</v>
      </c>
      <c r="BK130">
        <v>68.604797360000006</v>
      </c>
      <c r="BL130">
        <v>69.434997559999999</v>
      </c>
      <c r="BM130">
        <v>70.275299070000003</v>
      </c>
      <c r="BN130">
        <v>74.371597289999997</v>
      </c>
      <c r="BO130">
        <v>75.762298580000007</v>
      </c>
      <c r="BP130">
        <v>76.589500430000001</v>
      </c>
      <c r="BQ130">
        <v>76.884002690000003</v>
      </c>
    </row>
    <row r="131" spans="1:70">
      <c r="A131" t="s">
        <v>327</v>
      </c>
      <c r="B131" t="s">
        <v>328</v>
      </c>
      <c r="C131" t="s">
        <v>75</v>
      </c>
      <c r="D131" t="s">
        <v>76</v>
      </c>
      <c r="AI131">
        <v>2.3300000000000001E-2</v>
      </c>
      <c r="AJ131">
        <v>4.6099999999999995E-2</v>
      </c>
      <c r="AK131">
        <v>9.8400000000000001E-2</v>
      </c>
      <c r="AL131">
        <v>0.25</v>
      </c>
      <c r="AM131">
        <v>0.311</v>
      </c>
      <c r="AN131">
        <v>0.82</v>
      </c>
      <c r="AO131">
        <v>1.62</v>
      </c>
      <c r="AP131">
        <v>3.6</v>
      </c>
      <c r="AQ131">
        <v>6.78</v>
      </c>
      <c r="AR131">
        <v>23.6</v>
      </c>
      <c r="AS131">
        <v>44.7</v>
      </c>
      <c r="AT131">
        <v>56.6</v>
      </c>
      <c r="AU131">
        <v>59.4</v>
      </c>
      <c r="AV131">
        <v>65.5</v>
      </c>
      <c r="AW131">
        <v>72.7</v>
      </c>
      <c r="AX131">
        <v>73.5</v>
      </c>
      <c r="AY131">
        <v>78.099999999999994</v>
      </c>
      <c r="AZ131">
        <v>78.8</v>
      </c>
      <c r="BA131">
        <v>81</v>
      </c>
      <c r="BB131">
        <v>81.599999999999994</v>
      </c>
      <c r="BC131">
        <v>83.7</v>
      </c>
      <c r="BD131">
        <v>83.759120153447199</v>
      </c>
      <c r="BE131">
        <v>84.07</v>
      </c>
      <c r="BF131">
        <v>84.77</v>
      </c>
      <c r="BG131">
        <v>87.556826494474706</v>
      </c>
      <c r="BH131">
        <v>89.896255799510598</v>
      </c>
      <c r="BI131">
        <v>92.843025679607507</v>
      </c>
      <c r="BJ131">
        <v>95.069421876100407</v>
      </c>
      <c r="BK131">
        <v>96.022859579788701</v>
      </c>
      <c r="BL131">
        <v>96.157579184238998</v>
      </c>
      <c r="BM131">
        <v>96.505060520000001</v>
      </c>
      <c r="BN131">
        <v>97.571326979999995</v>
      </c>
      <c r="BO131">
        <v>97.168553349999996</v>
      </c>
      <c r="BP131">
        <v>97.415974779999999</v>
      </c>
      <c r="BQ131">
        <v>97.895637769999993</v>
      </c>
    </row>
    <row r="132" spans="1:70">
      <c r="A132" t="s">
        <v>329</v>
      </c>
      <c r="B132" t="s">
        <v>330</v>
      </c>
      <c r="C132" t="s">
        <v>75</v>
      </c>
      <c r="D132" t="s">
        <v>76</v>
      </c>
      <c r="AI132">
        <v>0</v>
      </c>
      <c r="AL132">
        <v>9.11E-2</v>
      </c>
      <c r="AM132">
        <v>0.14699999999999999</v>
      </c>
      <c r="AN132">
        <v>0.20300000000000001</v>
      </c>
      <c r="AO132">
        <v>0.85599999999999998</v>
      </c>
      <c r="AP132">
        <v>2.17</v>
      </c>
      <c r="AQ132">
        <v>3.05</v>
      </c>
      <c r="AR132">
        <v>4.76</v>
      </c>
      <c r="AS132">
        <v>6.7313957683753598</v>
      </c>
      <c r="AT132">
        <v>8.5517924343147502</v>
      </c>
      <c r="AU132">
        <v>10.2489679289296</v>
      </c>
      <c r="AV132">
        <v>22.402938380461201</v>
      </c>
      <c r="AW132">
        <v>22.927112036007799</v>
      </c>
      <c r="AX132">
        <v>25.926099780000001</v>
      </c>
      <c r="AY132">
        <v>28.79120064</v>
      </c>
      <c r="AZ132">
        <v>34.799999239999998</v>
      </c>
      <c r="BA132">
        <v>42</v>
      </c>
      <c r="BB132">
        <v>50.799999239999998</v>
      </c>
      <c r="BC132">
        <v>61.400001529999997</v>
      </c>
      <c r="BD132">
        <v>65.769070686739795</v>
      </c>
      <c r="BE132">
        <v>70.449996949999999</v>
      </c>
      <c r="BF132">
        <v>75.459999080000003</v>
      </c>
      <c r="BG132">
        <v>78.699996949999999</v>
      </c>
      <c r="BH132">
        <v>82</v>
      </c>
      <c r="BI132">
        <v>85.599998470000003</v>
      </c>
      <c r="BJ132">
        <v>97.999989334461503</v>
      </c>
      <c r="BK132">
        <v>99.598849590755705</v>
      </c>
      <c r="BL132">
        <v>99.542676451848905</v>
      </c>
      <c r="BM132">
        <v>99.105870170000003</v>
      </c>
      <c r="BN132">
        <v>99.7</v>
      </c>
      <c r="BO132">
        <v>99.747299190000007</v>
      </c>
      <c r="BP132">
        <v>99.747311249999996</v>
      </c>
      <c r="BQ132">
        <v>99.747299190000007</v>
      </c>
      <c r="BR132">
        <v>100</v>
      </c>
    </row>
    <row r="133" spans="1:70">
      <c r="A133" t="s">
        <v>331</v>
      </c>
      <c r="B133" t="s">
        <v>332</v>
      </c>
      <c r="C133" t="s">
        <v>75</v>
      </c>
      <c r="D133" t="s">
        <v>76</v>
      </c>
      <c r="AX133">
        <v>16.2</v>
      </c>
      <c r="AY133">
        <v>20.399999999999999</v>
      </c>
      <c r="AZ133">
        <v>23.3</v>
      </c>
      <c r="BA133">
        <v>25.9</v>
      </c>
      <c r="BB133">
        <v>30.3</v>
      </c>
      <c r="BC133">
        <v>34</v>
      </c>
      <c r="BD133">
        <v>38.700000000000003</v>
      </c>
      <c r="BE133">
        <v>42.1</v>
      </c>
      <c r="BF133">
        <v>45.1</v>
      </c>
      <c r="BG133">
        <v>47.7</v>
      </c>
      <c r="BH133">
        <v>53.3</v>
      </c>
      <c r="BI133">
        <v>56.4</v>
      </c>
      <c r="BJ133">
        <v>59.2</v>
      </c>
      <c r="BK133">
        <v>62.6</v>
      </c>
      <c r="BL133">
        <v>67.900000000000006</v>
      </c>
      <c r="BM133">
        <v>73.3</v>
      </c>
      <c r="BN133">
        <v>75.3</v>
      </c>
      <c r="BO133">
        <v>76.599999999999994</v>
      </c>
      <c r="BP133">
        <v>79.7</v>
      </c>
      <c r="BQ133">
        <v>81.400000000000006</v>
      </c>
      <c r="BR133">
        <v>83.6</v>
      </c>
    </row>
    <row r="134" spans="1:70">
      <c r="A134" t="s">
        <v>333</v>
      </c>
      <c r="B134" t="s">
        <v>334</v>
      </c>
      <c r="C134" t="s">
        <v>75</v>
      </c>
      <c r="D134" t="s">
        <v>76</v>
      </c>
      <c r="AI134">
        <v>0</v>
      </c>
      <c r="AQ134">
        <v>9.6600000000000002E-3</v>
      </c>
      <c r="AR134">
        <v>3.78E-2</v>
      </c>
      <c r="AS134">
        <v>0.111044032290124</v>
      </c>
      <c r="AT134">
        <v>0.18166446065456601</v>
      </c>
      <c r="AU134">
        <v>0.267899241309349</v>
      </c>
      <c r="AV134">
        <v>0.33391246642861599</v>
      </c>
      <c r="AW134">
        <v>0.36143449025804297</v>
      </c>
      <c r="AX134">
        <v>0.85039997099999998</v>
      </c>
      <c r="AY134">
        <v>1.1698999400000001</v>
      </c>
      <c r="AZ134">
        <v>1.64</v>
      </c>
      <c r="BA134">
        <v>3.55</v>
      </c>
      <c r="BB134">
        <v>6</v>
      </c>
      <c r="BC134">
        <v>7</v>
      </c>
      <c r="BD134">
        <v>9</v>
      </c>
      <c r="BE134">
        <v>10.74769974</v>
      </c>
      <c r="BF134">
        <v>12.5</v>
      </c>
      <c r="BG134">
        <v>14.260000229999999</v>
      </c>
      <c r="BH134">
        <v>18.200000760000002</v>
      </c>
      <c r="BI134">
        <v>21.870000839999999</v>
      </c>
      <c r="BJ134">
        <v>25.51040077</v>
      </c>
      <c r="BK134">
        <v>36.271301270000002</v>
      </c>
      <c r="BL134">
        <v>47.032299039999998</v>
      </c>
      <c r="BM134">
        <v>54</v>
      </c>
      <c r="BN134">
        <v>62</v>
      </c>
      <c r="BO134">
        <v>64.540000919999997</v>
      </c>
      <c r="BP134">
        <v>64.39800262</v>
      </c>
      <c r="BQ134">
        <v>65.592697139999999</v>
      </c>
    </row>
    <row r="135" spans="1:70">
      <c r="A135" t="s">
        <v>335</v>
      </c>
      <c r="B135" t="s">
        <v>336</v>
      </c>
      <c r="C135" t="s">
        <v>75</v>
      </c>
      <c r="D135" t="s">
        <v>76</v>
      </c>
      <c r="AI135">
        <v>0</v>
      </c>
      <c r="AN135">
        <v>7.1599999999999997E-2</v>
      </c>
      <c r="AO135">
        <v>0.14000000000000001</v>
      </c>
      <c r="AP135">
        <v>1.24</v>
      </c>
      <c r="AQ135">
        <v>2.72</v>
      </c>
      <c r="AR135">
        <v>5.38</v>
      </c>
      <c r="AS135">
        <v>7.95274373635276</v>
      </c>
      <c r="AT135">
        <v>6.7832197752771499</v>
      </c>
      <c r="AU135">
        <v>7</v>
      </c>
      <c r="AV135">
        <v>8</v>
      </c>
      <c r="AW135">
        <v>9</v>
      </c>
      <c r="AX135">
        <v>10.14000034</v>
      </c>
      <c r="AY135">
        <v>15</v>
      </c>
      <c r="AZ135">
        <v>18.739999999999998</v>
      </c>
      <c r="BA135">
        <v>22.53</v>
      </c>
      <c r="BB135">
        <v>30.13999939</v>
      </c>
      <c r="BC135">
        <v>43.680000309999997</v>
      </c>
      <c r="BD135">
        <v>52</v>
      </c>
      <c r="BE135">
        <v>61.249801640000001</v>
      </c>
      <c r="BF135">
        <v>70.5</v>
      </c>
      <c r="BG135">
        <v>73</v>
      </c>
      <c r="BH135">
        <v>74</v>
      </c>
      <c r="BI135">
        <v>76.11000061</v>
      </c>
      <c r="BJ135">
        <v>78.180801389999999</v>
      </c>
      <c r="BK135">
        <v>80.900001529999997</v>
      </c>
      <c r="BL135">
        <v>81.481201170000006</v>
      </c>
      <c r="BM135">
        <v>82.066497799999993</v>
      </c>
      <c r="BN135">
        <v>82.655998229999994</v>
      </c>
      <c r="BO135">
        <v>81.464797970000006</v>
      </c>
      <c r="BP135">
        <v>81.705902100000003</v>
      </c>
      <c r="BQ135">
        <v>80.634002690000003</v>
      </c>
    </row>
    <row r="136" spans="1:70">
      <c r="A136" t="s">
        <v>337</v>
      </c>
      <c r="B136" t="s">
        <v>338</v>
      </c>
      <c r="C136" t="s">
        <v>75</v>
      </c>
      <c r="D136" t="s">
        <v>76</v>
      </c>
      <c r="AI136">
        <v>0</v>
      </c>
      <c r="AP136">
        <v>4.4900000000000001E-3</v>
      </c>
      <c r="AQ136">
        <v>4.1000000000000003E-3</v>
      </c>
      <c r="AR136">
        <v>1.1299999999999999E-2</v>
      </c>
      <c r="AS136">
        <v>1.7702705716947199E-2</v>
      </c>
      <c r="AT136">
        <v>3.3812227177591997E-2</v>
      </c>
      <c r="AU136">
        <v>3.2713307119069897E-2</v>
      </c>
      <c r="AV136">
        <v>3.1868934545032701E-2</v>
      </c>
      <c r="AW136">
        <v>3.10111848040233E-2</v>
      </c>
      <c r="AX136">
        <v>0.55140000600000005</v>
      </c>
      <c r="AY136">
        <v>0.52999997099999996</v>
      </c>
      <c r="AZ136">
        <v>0.55140000600000005</v>
      </c>
      <c r="BA136">
        <v>0.52999997099999996</v>
      </c>
      <c r="BB136">
        <v>2</v>
      </c>
      <c r="BC136">
        <v>2.2999999999999998</v>
      </c>
      <c r="BD136">
        <v>2.5</v>
      </c>
      <c r="BE136">
        <v>2.5999999049999998</v>
      </c>
      <c r="BF136">
        <v>3.2000000480000002</v>
      </c>
      <c r="BG136">
        <v>5.4099998469999999</v>
      </c>
      <c r="BH136">
        <v>10</v>
      </c>
      <c r="BI136">
        <v>15.69999981</v>
      </c>
      <c r="BJ136">
        <v>16.299999240000002</v>
      </c>
      <c r="BK136">
        <v>17.277700419999999</v>
      </c>
      <c r="BL136">
        <v>19.89579964</v>
      </c>
      <c r="BM136">
        <v>22.910699839999999</v>
      </c>
      <c r="BN136">
        <v>26.382299419999999</v>
      </c>
      <c r="BO136">
        <v>30.380100250000002</v>
      </c>
      <c r="BP136">
        <v>31.224100109999998</v>
      </c>
      <c r="BQ136">
        <v>32.233600619999997</v>
      </c>
    </row>
    <row r="137" spans="1:70">
      <c r="A137" t="s">
        <v>339</v>
      </c>
      <c r="B137" t="s">
        <v>340</v>
      </c>
      <c r="C137" t="s">
        <v>75</v>
      </c>
      <c r="D137" t="s">
        <v>76</v>
      </c>
      <c r="AI137">
        <v>0</v>
      </c>
      <c r="AR137">
        <v>0.13400000000000001</v>
      </c>
      <c r="AS137">
        <v>0.187042622337565</v>
      </c>
      <c r="AT137">
        <v>0.36653317528422802</v>
      </c>
      <c r="AU137">
        <v>2.2444182216594601</v>
      </c>
      <c r="AV137">
        <v>2.81451798740855</v>
      </c>
      <c r="AW137">
        <v>3.5328381615454898</v>
      </c>
      <c r="AX137">
        <v>3.91779995</v>
      </c>
      <c r="AY137">
        <v>4.3010997770000001</v>
      </c>
      <c r="AZ137">
        <v>4.7219993785051297</v>
      </c>
      <c r="BA137">
        <v>9</v>
      </c>
      <c r="BB137">
        <v>10.80000019</v>
      </c>
      <c r="BC137">
        <v>14</v>
      </c>
      <c r="BD137">
        <v>14</v>
      </c>
      <c r="BE137">
        <v>15.19999981</v>
      </c>
      <c r="BF137">
        <v>16.5</v>
      </c>
      <c r="BG137">
        <v>17.760000229999999</v>
      </c>
      <c r="BH137">
        <v>25</v>
      </c>
      <c r="BI137">
        <v>35</v>
      </c>
      <c r="BJ137">
        <v>47.5</v>
      </c>
      <c r="BK137">
        <v>47.5</v>
      </c>
      <c r="BL137">
        <v>71.404098509999997</v>
      </c>
      <c r="BM137">
        <v>74.358100890000003</v>
      </c>
      <c r="BN137">
        <v>77.438796999999994</v>
      </c>
      <c r="BO137">
        <v>80.647201539999998</v>
      </c>
      <c r="BP137">
        <v>82.10469818</v>
      </c>
      <c r="BQ137">
        <v>81.954498290000004</v>
      </c>
    </row>
    <row r="138" spans="1:70">
      <c r="A138" t="s">
        <v>341</v>
      </c>
      <c r="B138" t="s">
        <v>342</v>
      </c>
      <c r="C138" t="s">
        <v>75</v>
      </c>
      <c r="D138" t="s">
        <v>76</v>
      </c>
      <c r="AI138">
        <v>0</v>
      </c>
      <c r="AN138">
        <v>0.30599999999999999</v>
      </c>
      <c r="AO138">
        <v>0.67</v>
      </c>
      <c r="AP138">
        <v>0.99199999999999999</v>
      </c>
      <c r="AQ138">
        <v>1.3</v>
      </c>
      <c r="AR138">
        <v>1.93</v>
      </c>
      <c r="AS138">
        <v>5.09048334139327</v>
      </c>
      <c r="AT138">
        <v>8.18186395448366</v>
      </c>
      <c r="AU138">
        <v>14.6418357746777</v>
      </c>
      <c r="AV138">
        <v>20.982473463342401</v>
      </c>
      <c r="AW138">
        <v>21.395212362765001</v>
      </c>
      <c r="AX138">
        <v>21.567582946421499</v>
      </c>
      <c r="AY138">
        <v>24.5</v>
      </c>
      <c r="AZ138">
        <v>27.899999619999999</v>
      </c>
      <c r="BA138">
        <v>30</v>
      </c>
      <c r="BB138">
        <v>31</v>
      </c>
      <c r="BC138">
        <v>32.5</v>
      </c>
      <c r="BD138">
        <v>34</v>
      </c>
      <c r="BE138">
        <v>45.865000000000002</v>
      </c>
      <c r="BF138">
        <v>49.3871994</v>
      </c>
      <c r="BG138">
        <v>53.179698940000002</v>
      </c>
      <c r="BH138">
        <v>57.263301849999998</v>
      </c>
      <c r="BI138">
        <v>58.222599029999998</v>
      </c>
      <c r="BJ138">
        <v>59.160099029999998</v>
      </c>
      <c r="BK138">
        <v>60.112598419999998</v>
      </c>
      <c r="BL138">
        <v>61.080501560000002</v>
      </c>
      <c r="BM138">
        <v>62.063999180000003</v>
      </c>
      <c r="BN138">
        <v>63.063301090000003</v>
      </c>
      <c r="BO138">
        <v>66.951599119999997</v>
      </c>
      <c r="BP138">
        <v>67.443901060000002</v>
      </c>
      <c r="BQ138">
        <v>68.20500183</v>
      </c>
    </row>
    <row r="139" spans="1:70">
      <c r="A139" t="s">
        <v>343</v>
      </c>
      <c r="B139" t="s">
        <v>344</v>
      </c>
      <c r="C139" t="s">
        <v>75</v>
      </c>
      <c r="D139" t="s">
        <v>76</v>
      </c>
      <c r="AX139">
        <v>16.600000000000001</v>
      </c>
      <c r="AY139">
        <v>20.7</v>
      </c>
      <c r="AZ139">
        <v>23.7</v>
      </c>
      <c r="BA139">
        <v>26.4</v>
      </c>
      <c r="BB139">
        <v>31</v>
      </c>
      <c r="BC139">
        <v>34.6</v>
      </c>
      <c r="BD139">
        <v>39.299999999999997</v>
      </c>
      <c r="BE139">
        <v>43</v>
      </c>
      <c r="BF139">
        <v>46.1</v>
      </c>
      <c r="BG139">
        <v>48.7</v>
      </c>
      <c r="BH139">
        <v>54.4</v>
      </c>
      <c r="BI139">
        <v>57.5</v>
      </c>
      <c r="BJ139">
        <v>60.2</v>
      </c>
      <c r="BK139">
        <v>63.5</v>
      </c>
      <c r="BL139">
        <v>67.8</v>
      </c>
      <c r="BM139">
        <v>73.8</v>
      </c>
      <c r="BN139">
        <v>75.8</v>
      </c>
      <c r="BO139">
        <v>77.099999999999994</v>
      </c>
      <c r="BP139">
        <v>80</v>
      </c>
      <c r="BQ139">
        <v>81.7</v>
      </c>
      <c r="BR139">
        <v>83.7</v>
      </c>
    </row>
    <row r="140" spans="1:70">
      <c r="A140" t="s">
        <v>345</v>
      </c>
      <c r="B140" t="s">
        <v>346</v>
      </c>
      <c r="C140" t="s">
        <v>75</v>
      </c>
      <c r="D140" t="s">
        <v>76</v>
      </c>
      <c r="AX140">
        <v>0.7</v>
      </c>
      <c r="AY140">
        <v>1</v>
      </c>
      <c r="AZ140">
        <v>1.8</v>
      </c>
      <c r="BA140">
        <v>2.2000000000000002</v>
      </c>
      <c r="BB140">
        <v>2.6</v>
      </c>
      <c r="BC140">
        <v>3.3</v>
      </c>
      <c r="BD140">
        <v>4</v>
      </c>
      <c r="BE140">
        <v>4.8</v>
      </c>
      <c r="BF140">
        <v>6</v>
      </c>
      <c r="BG140">
        <v>8.1999999999999993</v>
      </c>
      <c r="BH140">
        <v>10.7</v>
      </c>
      <c r="BI140">
        <v>13.8</v>
      </c>
      <c r="BJ140">
        <v>16.2</v>
      </c>
      <c r="BK140">
        <v>19.5</v>
      </c>
      <c r="BL140">
        <v>21.2</v>
      </c>
      <c r="BM140">
        <v>24.1</v>
      </c>
      <c r="BN140">
        <v>26.1</v>
      </c>
      <c r="BO140">
        <v>28.2</v>
      </c>
      <c r="BP140">
        <v>29.9</v>
      </c>
      <c r="BQ140">
        <v>31.4</v>
      </c>
      <c r="BR140">
        <v>33.700000000000003</v>
      </c>
    </row>
    <row r="141" spans="1:70">
      <c r="A141" t="s">
        <v>347</v>
      </c>
      <c r="B141" t="s">
        <v>348</v>
      </c>
      <c r="C141" t="s">
        <v>75</v>
      </c>
      <c r="D141" t="s">
        <v>76</v>
      </c>
      <c r="AX141">
        <v>1</v>
      </c>
      <c r="AY141">
        <v>1.3</v>
      </c>
      <c r="AZ141">
        <v>2.5</v>
      </c>
      <c r="BA141">
        <v>3</v>
      </c>
      <c r="BB141">
        <v>3.7</v>
      </c>
      <c r="BC141">
        <v>4.3</v>
      </c>
      <c r="BD141">
        <v>4.9000000000000004</v>
      </c>
      <c r="BE141">
        <v>5.4</v>
      </c>
      <c r="BF141">
        <v>6</v>
      </c>
      <c r="BG141">
        <v>6.9</v>
      </c>
      <c r="BH141">
        <v>7.9</v>
      </c>
      <c r="BI141">
        <v>10</v>
      </c>
      <c r="BJ141">
        <v>11.4</v>
      </c>
      <c r="BK141">
        <v>13.8</v>
      </c>
      <c r="BL141">
        <v>16.399999999999999</v>
      </c>
      <c r="BM141">
        <v>17.600000000000001</v>
      </c>
      <c r="BN141">
        <v>19</v>
      </c>
      <c r="BO141">
        <v>21.2</v>
      </c>
      <c r="BP141">
        <v>22</v>
      </c>
      <c r="BQ141">
        <v>22.5</v>
      </c>
      <c r="BR141">
        <v>23.4</v>
      </c>
    </row>
    <row r="142" spans="1:70">
      <c r="A142" t="s">
        <v>349</v>
      </c>
      <c r="B142" t="s">
        <v>350</v>
      </c>
      <c r="C142" t="s">
        <v>75</v>
      </c>
      <c r="D142" t="s">
        <v>76</v>
      </c>
      <c r="AI142">
        <v>0</v>
      </c>
      <c r="AS142">
        <v>36.515229893801497</v>
      </c>
      <c r="AT142">
        <v>45.116852648359199</v>
      </c>
      <c r="AU142">
        <v>59.470710674992603</v>
      </c>
      <c r="AV142">
        <v>58.8096918372148</v>
      </c>
      <c r="AW142">
        <v>64.007448139419907</v>
      </c>
      <c r="AX142">
        <v>63.371398929999998</v>
      </c>
      <c r="AY142">
        <v>64.214202880000002</v>
      </c>
      <c r="AZ142">
        <v>65.080200199999993</v>
      </c>
      <c r="BA142">
        <v>70</v>
      </c>
      <c r="BB142">
        <v>75</v>
      </c>
      <c r="BC142">
        <v>80</v>
      </c>
      <c r="BD142">
        <v>85</v>
      </c>
      <c r="BE142">
        <v>89.407699579999999</v>
      </c>
      <c r="BF142">
        <v>93.800003050000001</v>
      </c>
      <c r="BG142">
        <v>95.209999080000003</v>
      </c>
      <c r="BH142">
        <v>96.641197199999993</v>
      </c>
      <c r="BI142">
        <v>98.093902589999999</v>
      </c>
      <c r="BJ142">
        <v>99.546600339999998</v>
      </c>
      <c r="BL142">
        <v>93.146102909999996</v>
      </c>
      <c r="BM142">
        <v>94.349998470000003</v>
      </c>
      <c r="BN142">
        <v>95.56939697</v>
      </c>
      <c r="BO142">
        <v>97.880699160000006</v>
      </c>
      <c r="BP142">
        <v>98.132301330000004</v>
      </c>
      <c r="BQ142">
        <v>98.264198300000004</v>
      </c>
    </row>
    <row r="143" spans="1:70">
      <c r="A143" t="s">
        <v>351</v>
      </c>
      <c r="B143" t="s">
        <v>352</v>
      </c>
      <c r="C143" t="s">
        <v>75</v>
      </c>
      <c r="D143" t="s">
        <v>76</v>
      </c>
      <c r="AI143">
        <v>0</v>
      </c>
      <c r="AM143">
        <v>2.7699999999999999E-3</v>
      </c>
      <c r="AN143">
        <v>5.4799999999999996E-3</v>
      </c>
      <c r="AO143">
        <v>5.45E-2</v>
      </c>
      <c r="AP143">
        <v>0.16199999999999998</v>
      </c>
      <c r="AQ143">
        <v>0.29599999999999999</v>
      </c>
      <c r="AR143">
        <v>0.34799999999999998</v>
      </c>
      <c r="AS143">
        <v>0.64741001094096295</v>
      </c>
      <c r="AT143">
        <v>0.79382186436262203</v>
      </c>
      <c r="AU143">
        <v>1.0504227058531801</v>
      </c>
      <c r="AV143">
        <v>1.4585802284240801</v>
      </c>
      <c r="AW143">
        <v>1.4461599804148599</v>
      </c>
      <c r="AX143">
        <v>1.7920000549999999</v>
      </c>
      <c r="AY143">
        <v>2.53756612897332</v>
      </c>
      <c r="AZ143">
        <v>3.88</v>
      </c>
      <c r="BA143">
        <v>4.8245000840000003</v>
      </c>
      <c r="BB143">
        <v>5.8685002329999998</v>
      </c>
      <c r="BC143">
        <v>6.9123997690000003</v>
      </c>
      <c r="BD143">
        <v>7.9563999179999998</v>
      </c>
      <c r="BE143">
        <v>9.0003995900000007</v>
      </c>
      <c r="BF143">
        <v>10.04440022</v>
      </c>
      <c r="BG143">
        <v>10.5000026214106</v>
      </c>
      <c r="BH143">
        <v>15.26249981</v>
      </c>
      <c r="BI143">
        <v>22.19</v>
      </c>
      <c r="BJ143">
        <v>25.07550049</v>
      </c>
      <c r="BK143">
        <v>28.33620071</v>
      </c>
      <c r="BL143">
        <v>32.020900730000001</v>
      </c>
      <c r="BM143">
        <v>36.184734349999999</v>
      </c>
      <c r="BN143">
        <v>44.453087240000002</v>
      </c>
      <c r="BO143">
        <v>48.3</v>
      </c>
      <c r="BP143">
        <v>51.2</v>
      </c>
      <c r="BQ143">
        <v>54.59</v>
      </c>
    </row>
    <row r="144" spans="1:70">
      <c r="A144" t="s">
        <v>353</v>
      </c>
      <c r="B144" t="s">
        <v>354</v>
      </c>
      <c r="C144" t="s">
        <v>75</v>
      </c>
      <c r="D144" t="s">
        <v>76</v>
      </c>
      <c r="AX144">
        <v>3.6</v>
      </c>
      <c r="AY144">
        <v>4.4000000000000004</v>
      </c>
      <c r="AZ144">
        <v>5.6</v>
      </c>
      <c r="BA144">
        <v>6.4</v>
      </c>
      <c r="BB144">
        <v>7.5</v>
      </c>
      <c r="BC144">
        <v>10.1</v>
      </c>
      <c r="BD144">
        <v>12.2</v>
      </c>
      <c r="BE144">
        <v>13.6</v>
      </c>
      <c r="BF144">
        <v>15.2</v>
      </c>
      <c r="BG144">
        <v>17.2</v>
      </c>
      <c r="BH144">
        <v>19.5</v>
      </c>
      <c r="BI144">
        <v>21.9</v>
      </c>
      <c r="BJ144">
        <v>24.4</v>
      </c>
      <c r="BK144">
        <v>27.2</v>
      </c>
      <c r="BL144">
        <v>33.4</v>
      </c>
      <c r="BM144">
        <v>42.5</v>
      </c>
      <c r="BN144">
        <v>47.4</v>
      </c>
      <c r="BO144">
        <v>52.3</v>
      </c>
      <c r="BP144">
        <v>55.4</v>
      </c>
      <c r="BQ144">
        <v>58.9</v>
      </c>
      <c r="BR144">
        <v>62.9</v>
      </c>
    </row>
    <row r="145" spans="1:70">
      <c r="A145" t="s">
        <v>355</v>
      </c>
      <c r="B145" t="s">
        <v>356</v>
      </c>
      <c r="C145" t="s">
        <v>75</v>
      </c>
      <c r="D145" t="s">
        <v>76</v>
      </c>
    </row>
    <row r="146" spans="1:70">
      <c r="A146" t="s">
        <v>357</v>
      </c>
      <c r="B146" t="s">
        <v>358</v>
      </c>
      <c r="C146" t="s">
        <v>75</v>
      </c>
      <c r="D146" t="s">
        <v>76</v>
      </c>
      <c r="AI146">
        <v>0</v>
      </c>
      <c r="AO146">
        <v>2.8500000000000001E-3</v>
      </c>
      <c r="AP146">
        <v>5.5799999999999999E-3</v>
      </c>
      <c r="AQ146">
        <v>1.1000000000000001E-2</v>
      </c>
      <c r="AR146">
        <v>5.3799999999999994E-2</v>
      </c>
      <c r="AS146">
        <v>0.21180607036197699</v>
      </c>
      <c r="AT146">
        <v>0.26115006309385502</v>
      </c>
      <c r="AU146">
        <v>1.0839431373753401</v>
      </c>
      <c r="AV146">
        <v>1.53249659019509</v>
      </c>
      <c r="AW146">
        <v>2.1755243393109698</v>
      </c>
      <c r="AX146">
        <v>2.580199957</v>
      </c>
      <c r="AY146">
        <v>2.9797081872448601</v>
      </c>
      <c r="AZ146">
        <v>3.4454312597087302</v>
      </c>
      <c r="BA146">
        <v>3.58</v>
      </c>
      <c r="BB146">
        <v>3.72</v>
      </c>
      <c r="BC146">
        <v>3.8599998950000001</v>
      </c>
      <c r="BD146">
        <v>7</v>
      </c>
      <c r="BE146">
        <v>10</v>
      </c>
      <c r="BF146">
        <v>15</v>
      </c>
      <c r="BG146">
        <v>22</v>
      </c>
      <c r="BH146">
        <v>25</v>
      </c>
      <c r="BI146">
        <v>32.453856947736497</v>
      </c>
      <c r="BJ146">
        <v>39</v>
      </c>
      <c r="BK146">
        <v>40.799999239999998</v>
      </c>
      <c r="BL146">
        <v>42.301733569272997</v>
      </c>
      <c r="BM146">
        <v>43.65750122</v>
      </c>
      <c r="BN146">
        <v>45.056701660000002</v>
      </c>
      <c r="BO146">
        <v>48.069599150000002</v>
      </c>
      <c r="BP146">
        <v>48.985900880000003</v>
      </c>
      <c r="BQ146">
        <v>51.796600339999998</v>
      </c>
    </row>
    <row r="147" spans="1:70">
      <c r="A147" t="s">
        <v>359</v>
      </c>
      <c r="B147" t="s">
        <v>360</v>
      </c>
      <c r="C147" t="s">
        <v>75</v>
      </c>
      <c r="D147" t="s">
        <v>76</v>
      </c>
    </row>
    <row r="148" spans="1:70">
      <c r="A148" t="s">
        <v>361</v>
      </c>
      <c r="B148" t="s">
        <v>362</v>
      </c>
      <c r="C148" t="s">
        <v>75</v>
      </c>
      <c r="D148" t="s">
        <v>76</v>
      </c>
      <c r="AI148">
        <v>0</v>
      </c>
      <c r="AO148">
        <v>0.27699999999999997</v>
      </c>
      <c r="AP148">
        <v>0.97800000000000009</v>
      </c>
      <c r="AQ148">
        <v>1.97</v>
      </c>
      <c r="AR148">
        <v>2.92</v>
      </c>
      <c r="AS148">
        <v>6.42706749477765</v>
      </c>
      <c r="AT148">
        <v>7.1793569938136903</v>
      </c>
      <c r="AU148">
        <v>17.690000000000001</v>
      </c>
      <c r="AV148">
        <v>25.91</v>
      </c>
      <c r="AW148">
        <v>31.23</v>
      </c>
      <c r="AX148">
        <v>36.22</v>
      </c>
      <c r="AY148">
        <v>43.9</v>
      </c>
      <c r="AZ148">
        <v>49.9</v>
      </c>
      <c r="BA148">
        <v>55.22</v>
      </c>
      <c r="BB148">
        <v>59.76</v>
      </c>
      <c r="BC148">
        <v>62.12</v>
      </c>
      <c r="BD148">
        <v>63.639977400217902</v>
      </c>
      <c r="BE148">
        <v>67.229989327641405</v>
      </c>
      <c r="BF148">
        <v>68.4529</v>
      </c>
      <c r="BG148">
        <v>72.133537864456599</v>
      </c>
      <c r="BH148">
        <v>71.378059010175406</v>
      </c>
      <c r="BI148">
        <v>74.376645561866198</v>
      </c>
      <c r="BJ148">
        <v>77.615256512451396</v>
      </c>
      <c r="BK148">
        <v>79.722582768051794</v>
      </c>
      <c r="BL148">
        <v>81.5818683764046</v>
      </c>
      <c r="BM148">
        <v>83.055547239999996</v>
      </c>
      <c r="BN148">
        <v>86.930544249999997</v>
      </c>
      <c r="BO148">
        <v>87.72420219</v>
      </c>
      <c r="BP148">
        <v>88.502874840000004</v>
      </c>
      <c r="BQ148">
        <v>89.161162930000003</v>
      </c>
    </row>
    <row r="149" spans="1:70">
      <c r="A149" t="s">
        <v>363</v>
      </c>
      <c r="B149" t="s">
        <v>364</v>
      </c>
      <c r="C149" t="s">
        <v>75</v>
      </c>
      <c r="D149" t="s">
        <v>76</v>
      </c>
      <c r="AI149">
        <v>0</v>
      </c>
      <c r="AK149">
        <v>0.153</v>
      </c>
      <c r="AL149">
        <v>0.30199999999999999</v>
      </c>
      <c r="AM149">
        <v>0.496</v>
      </c>
      <c r="AN149">
        <v>1.59</v>
      </c>
      <c r="AO149">
        <v>5.55</v>
      </c>
      <c r="AP149">
        <v>7.14</v>
      </c>
      <c r="AQ149">
        <v>11.7</v>
      </c>
      <c r="AR149">
        <v>17.399999999999999</v>
      </c>
      <c r="AS149">
        <v>22.887327973121099</v>
      </c>
      <c r="AT149">
        <v>36.163422506305999</v>
      </c>
      <c r="AU149">
        <v>39.840000000000003</v>
      </c>
      <c r="AV149">
        <v>54.55</v>
      </c>
      <c r="AW149">
        <v>65.88</v>
      </c>
      <c r="AX149">
        <v>70</v>
      </c>
      <c r="AY149">
        <v>72.510000000000005</v>
      </c>
      <c r="AZ149">
        <v>78.92</v>
      </c>
      <c r="BA149">
        <v>82.23</v>
      </c>
      <c r="BB149">
        <v>87.31</v>
      </c>
      <c r="BC149">
        <v>90.62</v>
      </c>
      <c r="BD149">
        <v>90.029858564693598</v>
      </c>
      <c r="BE149">
        <v>91.949923741738701</v>
      </c>
      <c r="BF149">
        <v>93.776499999999999</v>
      </c>
      <c r="BG149">
        <v>94.670205277476597</v>
      </c>
      <c r="BH149">
        <v>96.376714170475907</v>
      </c>
      <c r="BI149">
        <v>98.1366986657616</v>
      </c>
      <c r="BJ149">
        <v>97.362960324175106</v>
      </c>
      <c r="BK149">
        <v>97.061298705829003</v>
      </c>
      <c r="BL149">
        <v>97.120635693272007</v>
      </c>
      <c r="BM149">
        <v>98.459628929999994</v>
      </c>
      <c r="BN149">
        <v>98.660863329999998</v>
      </c>
      <c r="BO149">
        <v>98.242037490000001</v>
      </c>
      <c r="BP149">
        <v>99.347857070000003</v>
      </c>
      <c r="BQ149">
        <v>98.760614700000005</v>
      </c>
      <c r="BR149">
        <v>99.129022109999994</v>
      </c>
    </row>
    <row r="150" spans="1:70">
      <c r="A150" t="s">
        <v>365</v>
      </c>
      <c r="B150" t="s">
        <v>366</v>
      </c>
      <c r="C150" t="s">
        <v>75</v>
      </c>
      <c r="D150" t="s">
        <v>76</v>
      </c>
      <c r="AI150">
        <v>0</v>
      </c>
      <c r="AO150">
        <v>0.81300000000000006</v>
      </c>
      <c r="AP150">
        <v>2.0499999999999998</v>
      </c>
      <c r="AQ150">
        <v>3.32</v>
      </c>
      <c r="AR150">
        <v>4.3899999999999997</v>
      </c>
      <c r="AS150">
        <v>6.3190620826786104</v>
      </c>
      <c r="AT150">
        <v>7.2193458083628901</v>
      </c>
      <c r="AU150">
        <v>21.94</v>
      </c>
      <c r="AV150">
        <v>26.98</v>
      </c>
      <c r="AW150">
        <v>38.58</v>
      </c>
      <c r="AX150">
        <v>46</v>
      </c>
      <c r="AY150">
        <v>53.63</v>
      </c>
      <c r="AZ150">
        <v>59.17</v>
      </c>
      <c r="BA150">
        <v>63.41</v>
      </c>
      <c r="BB150">
        <v>66.84</v>
      </c>
      <c r="BC150">
        <v>68.42</v>
      </c>
      <c r="BD150">
        <v>69.749954559224506</v>
      </c>
      <c r="BE150">
        <v>73.119943766374803</v>
      </c>
      <c r="BF150">
        <v>75.234399999999994</v>
      </c>
      <c r="BG150">
        <v>75.826104138355603</v>
      </c>
      <c r="BH150">
        <v>79.200582923934405</v>
      </c>
      <c r="BI150">
        <v>79.842097784308905</v>
      </c>
      <c r="BJ150">
        <v>80.114077003736895</v>
      </c>
      <c r="BK150">
        <v>83.577174863095607</v>
      </c>
      <c r="BL150">
        <v>86.135456443430002</v>
      </c>
      <c r="BM150">
        <v>88.897960780000005</v>
      </c>
      <c r="BN150">
        <v>91.179649879999999</v>
      </c>
      <c r="BO150">
        <v>91.03009059</v>
      </c>
      <c r="BP150">
        <v>92.187912909999994</v>
      </c>
      <c r="BQ150">
        <v>92.707570110000006</v>
      </c>
    </row>
    <row r="151" spans="1:70">
      <c r="A151" t="s">
        <v>367</v>
      </c>
      <c r="B151" t="s">
        <v>368</v>
      </c>
      <c r="C151" t="s">
        <v>75</v>
      </c>
      <c r="D151" t="s">
        <v>76</v>
      </c>
      <c r="AI151">
        <v>0</v>
      </c>
      <c r="AM151">
        <v>3.6999999999999998E-2</v>
      </c>
      <c r="AN151">
        <v>0.28000000000000003</v>
      </c>
      <c r="AO151">
        <v>0.72700000000000009</v>
      </c>
      <c r="AP151">
        <v>2.36</v>
      </c>
      <c r="AQ151">
        <v>7</v>
      </c>
      <c r="AR151">
        <v>9.2100000000000009</v>
      </c>
      <c r="AS151">
        <v>13.608589741845099</v>
      </c>
      <c r="AT151">
        <v>22.5212167700561</v>
      </c>
      <c r="AU151">
        <v>25.171880164339498</v>
      </c>
      <c r="AV151">
        <v>25.742123982649801</v>
      </c>
      <c r="AW151">
        <v>31.484097382412099</v>
      </c>
      <c r="AX151">
        <v>34.862899779999999</v>
      </c>
      <c r="AY151">
        <v>46.4</v>
      </c>
      <c r="AZ151">
        <v>47.326999659999998</v>
      </c>
      <c r="BA151">
        <v>49.24</v>
      </c>
      <c r="BB151">
        <v>54</v>
      </c>
      <c r="BC151">
        <v>55.198</v>
      </c>
      <c r="BD151">
        <v>60.203696718219497</v>
      </c>
      <c r="BE151">
        <v>61.31</v>
      </c>
      <c r="BF151">
        <v>65.8</v>
      </c>
      <c r="BG151">
        <v>69.780949220046494</v>
      </c>
      <c r="BH151">
        <v>77.600131860886805</v>
      </c>
      <c r="BI151">
        <v>81.642985464641498</v>
      </c>
      <c r="BJ151">
        <v>83.174089068825893</v>
      </c>
      <c r="BK151">
        <v>83.794089609151598</v>
      </c>
      <c r="BL151">
        <v>86.467925706258796</v>
      </c>
      <c r="BM151">
        <v>87.462303160000005</v>
      </c>
      <c r="BN151">
        <v>88.468104920000002</v>
      </c>
      <c r="BO151">
        <v>89.485496519999998</v>
      </c>
      <c r="BP151">
        <v>89.826400759999999</v>
      </c>
      <c r="BQ151">
        <v>89.826400759999999</v>
      </c>
    </row>
    <row r="152" spans="1:70">
      <c r="A152" t="s">
        <v>369</v>
      </c>
      <c r="B152" t="s">
        <v>370</v>
      </c>
      <c r="C152" t="s">
        <v>75</v>
      </c>
      <c r="D152" t="s">
        <v>76</v>
      </c>
    </row>
    <row r="153" spans="1:70">
      <c r="A153" t="s">
        <v>371</v>
      </c>
      <c r="B153" t="s">
        <v>372</v>
      </c>
      <c r="C153" t="s">
        <v>75</v>
      </c>
      <c r="D153" t="s">
        <v>76</v>
      </c>
      <c r="AI153">
        <v>0</v>
      </c>
      <c r="AN153">
        <v>3.7100000000000002E-3</v>
      </c>
      <c r="AO153">
        <v>5.6800000000000002E-3</v>
      </c>
      <c r="AP153">
        <v>2.1599999999999998E-2</v>
      </c>
      <c r="AQ153">
        <v>0.14200000000000002</v>
      </c>
      <c r="AR153">
        <v>0.17600000000000002</v>
      </c>
      <c r="AS153">
        <v>0.69379124480545495</v>
      </c>
      <c r="AT153">
        <v>1.3714381009641801</v>
      </c>
      <c r="AU153">
        <v>2.3732531924154401</v>
      </c>
      <c r="AV153">
        <v>3.3533666812236298</v>
      </c>
      <c r="AW153">
        <v>11.607934772958201</v>
      </c>
      <c r="AX153">
        <v>15.0844445240204</v>
      </c>
      <c r="AY153">
        <v>19.771191565311501</v>
      </c>
      <c r="AZ153">
        <v>21.5</v>
      </c>
      <c r="BA153">
        <v>33.1</v>
      </c>
      <c r="BB153">
        <v>41.3</v>
      </c>
      <c r="BC153">
        <v>52</v>
      </c>
      <c r="BD153">
        <v>46.107482597000001</v>
      </c>
      <c r="BE153">
        <v>55.416053191489397</v>
      </c>
      <c r="BF153">
        <v>56</v>
      </c>
      <c r="BG153">
        <v>56.7746379160074</v>
      </c>
      <c r="BH153">
        <v>57.079999348611601</v>
      </c>
      <c r="BI153">
        <v>58.271236420397997</v>
      </c>
      <c r="BJ153">
        <v>61.762212012307103</v>
      </c>
      <c r="BK153">
        <v>64.803865192404302</v>
      </c>
      <c r="BL153">
        <v>84.120363046760204</v>
      </c>
      <c r="BM153">
        <v>84.120363049999995</v>
      </c>
      <c r="BN153">
        <v>88.130319369999995</v>
      </c>
      <c r="BO153">
        <v>89.9</v>
      </c>
      <c r="BP153">
        <v>91</v>
      </c>
      <c r="BQ153">
        <v>91.2</v>
      </c>
    </row>
    <row r="154" spans="1:70">
      <c r="A154" t="s">
        <v>373</v>
      </c>
      <c r="B154" t="s">
        <v>374</v>
      </c>
      <c r="C154" t="s">
        <v>75</v>
      </c>
      <c r="D154" t="s">
        <v>76</v>
      </c>
      <c r="AI154">
        <v>0</v>
      </c>
      <c r="AS154">
        <v>42.184863446034598</v>
      </c>
      <c r="AT154">
        <v>46.646142364026502</v>
      </c>
      <c r="AU154">
        <v>48.0471171729696</v>
      </c>
      <c r="AV154">
        <v>49.491168919545899</v>
      </c>
      <c r="AW154">
        <v>52.490196683854599</v>
      </c>
      <c r="AX154">
        <v>55.464801790000003</v>
      </c>
      <c r="AY154">
        <v>61.476001740000001</v>
      </c>
      <c r="AZ154">
        <v>64.377700809999993</v>
      </c>
      <c r="BA154">
        <v>67.25</v>
      </c>
      <c r="BB154">
        <v>70.099999999999994</v>
      </c>
      <c r="BC154">
        <v>75</v>
      </c>
      <c r="BD154">
        <v>80.300003050000001</v>
      </c>
      <c r="BE154">
        <v>87</v>
      </c>
      <c r="BF154">
        <v>90.699996949999999</v>
      </c>
      <c r="BG154">
        <v>92.400001529999997</v>
      </c>
      <c r="BH154">
        <v>93.363296509999998</v>
      </c>
      <c r="BI154">
        <v>95.208198550000006</v>
      </c>
      <c r="BJ154">
        <v>97.053001399999999</v>
      </c>
      <c r="BL154">
        <v>98</v>
      </c>
      <c r="BM154">
        <v>98.570800779999999</v>
      </c>
      <c r="BN154">
        <v>99.077598570000006</v>
      </c>
      <c r="BO154">
        <v>98.751899719999997</v>
      </c>
      <c r="BP154">
        <v>98.870498659999996</v>
      </c>
      <c r="BQ154">
        <v>99.044898989999993</v>
      </c>
    </row>
    <row r="155" spans="1:70">
      <c r="A155" t="s">
        <v>375</v>
      </c>
      <c r="B155" t="s">
        <v>376</v>
      </c>
      <c r="C155" t="s">
        <v>75</v>
      </c>
      <c r="D155" t="s">
        <v>76</v>
      </c>
      <c r="AI155">
        <v>0</v>
      </c>
      <c r="AM155">
        <v>8.250000000000001E-4</v>
      </c>
      <c r="AN155">
        <v>3.46E-3</v>
      </c>
      <c r="AO155">
        <v>4.64E-3</v>
      </c>
      <c r="AP155">
        <v>2.81E-2</v>
      </c>
      <c r="AQ155">
        <v>0.26100000000000001</v>
      </c>
      <c r="AR155">
        <v>0.60099999999999998</v>
      </c>
      <c r="AS155">
        <v>1.28284641670022</v>
      </c>
      <c r="AT155">
        <v>1.48781295215565</v>
      </c>
      <c r="AU155">
        <v>3.7872427988734199</v>
      </c>
      <c r="AV155">
        <v>7.4075445841589698</v>
      </c>
      <c r="AW155">
        <v>10.629390841654001</v>
      </c>
      <c r="AX155">
        <v>14.6302704551796</v>
      </c>
      <c r="AY155">
        <v>19.6206477051634</v>
      </c>
      <c r="AZ155">
        <v>20.45</v>
      </c>
      <c r="BA155">
        <v>23.39</v>
      </c>
      <c r="BB155">
        <v>27.5</v>
      </c>
      <c r="BC155">
        <v>29.68000031</v>
      </c>
      <c r="BD155">
        <v>32.069999690000003</v>
      </c>
      <c r="BE155">
        <v>34.650001529999997</v>
      </c>
      <c r="BF155">
        <v>37.439998629999998</v>
      </c>
      <c r="BG155">
        <v>66.999998200207699</v>
      </c>
      <c r="BH155">
        <v>69.000004466193204</v>
      </c>
      <c r="BI155">
        <v>70.999999106662401</v>
      </c>
      <c r="BJ155">
        <v>71.767097469999996</v>
      </c>
      <c r="BK155">
        <v>72.542396550000007</v>
      </c>
      <c r="BL155">
        <v>73.326103209999999</v>
      </c>
      <c r="BM155">
        <v>74.118301389999999</v>
      </c>
      <c r="BN155">
        <v>74.918998720000005</v>
      </c>
      <c r="BO155">
        <v>74.918998720000005</v>
      </c>
      <c r="BP155">
        <v>76.503303529999997</v>
      </c>
      <c r="BQ155">
        <v>77.368797299999997</v>
      </c>
    </row>
    <row r="156" spans="1:70">
      <c r="A156" t="s">
        <v>377</v>
      </c>
      <c r="B156" t="s">
        <v>378</v>
      </c>
      <c r="C156" t="s">
        <v>75</v>
      </c>
      <c r="D156" t="s">
        <v>76</v>
      </c>
      <c r="AI156">
        <v>0</v>
      </c>
      <c r="AO156">
        <v>3.6999999999999997E-3</v>
      </c>
      <c r="AP156">
        <v>1.43E-2</v>
      </c>
      <c r="AQ156">
        <v>6.2600000000000003E-2</v>
      </c>
      <c r="AR156">
        <v>0.16900000000000001</v>
      </c>
      <c r="AS156">
        <v>0.19639469100634099</v>
      </c>
      <c r="AT156">
        <v>0.222511586178292</v>
      </c>
      <c r="AU156">
        <v>0.33972015459614202</v>
      </c>
      <c r="AV156">
        <v>0.42325241927780899</v>
      </c>
      <c r="AW156">
        <v>0.52535365494666897</v>
      </c>
      <c r="AX156">
        <v>0.56770002799999997</v>
      </c>
      <c r="AY156">
        <v>0.60759997399999999</v>
      </c>
      <c r="AZ156">
        <v>0.64999997600000003</v>
      </c>
      <c r="BA156">
        <v>1.6499999759999999</v>
      </c>
      <c r="BB156">
        <v>1.6299999949999999</v>
      </c>
      <c r="BC156">
        <v>1.7000000479999999</v>
      </c>
      <c r="BD156">
        <v>1.8999999759999999</v>
      </c>
      <c r="BE156">
        <v>2.2999999519999998</v>
      </c>
      <c r="BF156">
        <v>3</v>
      </c>
      <c r="BG156">
        <v>3.7000000480000002</v>
      </c>
      <c r="BH156">
        <v>4.1739997860000004</v>
      </c>
      <c r="BI156">
        <v>4.7136998180000003</v>
      </c>
      <c r="BJ156">
        <v>6.4060001370000004</v>
      </c>
      <c r="BK156">
        <v>7.7477998729999999</v>
      </c>
      <c r="BL156">
        <v>9.379400253</v>
      </c>
      <c r="BM156">
        <v>11.35470009</v>
      </c>
      <c r="BN156">
        <v>13.745900150000001</v>
      </c>
      <c r="BO156">
        <v>17.811700819999999</v>
      </c>
      <c r="BP156">
        <v>18.24080086</v>
      </c>
      <c r="BQ156">
        <v>18.677900309999998</v>
      </c>
    </row>
    <row r="157" spans="1:70">
      <c r="A157" t="s">
        <v>379</v>
      </c>
      <c r="B157" t="s">
        <v>380</v>
      </c>
      <c r="C157" t="s">
        <v>75</v>
      </c>
      <c r="D157" t="s">
        <v>76</v>
      </c>
      <c r="AI157">
        <v>0</v>
      </c>
      <c r="AJ157">
        <v>0</v>
      </c>
      <c r="AK157">
        <v>0</v>
      </c>
      <c r="AL157">
        <v>0</v>
      </c>
      <c r="AM157">
        <v>0</v>
      </c>
      <c r="AN157">
        <v>0</v>
      </c>
      <c r="AO157">
        <v>0.22699999999999998</v>
      </c>
      <c r="AP157">
        <v>0.309</v>
      </c>
      <c r="AQ157">
        <v>0.56999999999999995</v>
      </c>
      <c r="AR157">
        <v>1.1200000000000001</v>
      </c>
      <c r="AS157">
        <v>2.2038729393788001</v>
      </c>
      <c r="AT157">
        <v>3.6172906493036701</v>
      </c>
      <c r="AU157">
        <v>5.3477651689358998</v>
      </c>
      <c r="AV157">
        <v>5.97659284988557</v>
      </c>
      <c r="AW157">
        <v>6.5882548753086096</v>
      </c>
      <c r="AX157">
        <v>6.8696050669621496</v>
      </c>
      <c r="AY157">
        <v>11.0363527828647</v>
      </c>
      <c r="AZ157">
        <v>16.3</v>
      </c>
      <c r="BA157">
        <v>23.2</v>
      </c>
      <c r="BB157">
        <v>24.8</v>
      </c>
      <c r="BC157">
        <v>26.53</v>
      </c>
      <c r="BD157">
        <v>34</v>
      </c>
      <c r="BE157">
        <v>38.930099490000003</v>
      </c>
      <c r="BF157">
        <v>44.099998470000003</v>
      </c>
      <c r="BG157">
        <v>49.27999878</v>
      </c>
      <c r="BH157">
        <v>54.462001800000003</v>
      </c>
      <c r="BI157">
        <v>59.477500919999997</v>
      </c>
      <c r="BJ157">
        <v>64.95500183</v>
      </c>
      <c r="BK157">
        <v>70.936897279999997</v>
      </c>
      <c r="BL157">
        <v>77.469703670000001</v>
      </c>
      <c r="BM157">
        <v>79.09780121</v>
      </c>
      <c r="BN157">
        <v>81.957603449999993</v>
      </c>
      <c r="BO157">
        <v>83.911890540000002</v>
      </c>
      <c r="BP157">
        <v>84.552902220000007</v>
      </c>
      <c r="BQ157">
        <v>85.239997860000003</v>
      </c>
    </row>
    <row r="158" spans="1:70">
      <c r="A158" t="s">
        <v>381</v>
      </c>
      <c r="B158" t="s">
        <v>382</v>
      </c>
      <c r="C158" t="s">
        <v>75</v>
      </c>
      <c r="D158" t="s">
        <v>76</v>
      </c>
      <c r="AX158">
        <v>8.3000000000000007</v>
      </c>
      <c r="AY158">
        <v>9.6</v>
      </c>
      <c r="AZ158">
        <v>11.7</v>
      </c>
      <c r="BA158">
        <v>14.1</v>
      </c>
      <c r="BB158">
        <v>16.100000000000001</v>
      </c>
      <c r="BC158">
        <v>18.3</v>
      </c>
      <c r="BD158">
        <v>20.100000000000001</v>
      </c>
      <c r="BE158">
        <v>22.4</v>
      </c>
      <c r="BF158">
        <v>25.2</v>
      </c>
      <c r="BG158">
        <v>28.7</v>
      </c>
      <c r="BH158">
        <v>31.8</v>
      </c>
      <c r="BI158">
        <v>35</v>
      </c>
      <c r="BJ158">
        <v>39.700000000000003</v>
      </c>
      <c r="BK158">
        <v>42.3</v>
      </c>
      <c r="BL158">
        <v>46</v>
      </c>
      <c r="BM158">
        <v>50.6</v>
      </c>
      <c r="BN158">
        <v>54.2</v>
      </c>
      <c r="BO158">
        <v>57.8</v>
      </c>
      <c r="BP158">
        <v>59.5</v>
      </c>
      <c r="BQ158">
        <v>61.5</v>
      </c>
      <c r="BR158">
        <v>63.7</v>
      </c>
    </row>
    <row r="159" spans="1:70">
      <c r="A159" t="s">
        <v>383</v>
      </c>
      <c r="B159" t="s">
        <v>384</v>
      </c>
      <c r="C159" t="s">
        <v>75</v>
      </c>
      <c r="D159" t="s">
        <v>76</v>
      </c>
      <c r="AI159">
        <v>0</v>
      </c>
      <c r="AJ159">
        <v>5.8799999999999998E-3</v>
      </c>
      <c r="AK159">
        <v>1.7299999999999999E-2</v>
      </c>
      <c r="AL159">
        <v>2.8299999999999999E-2</v>
      </c>
      <c r="AM159">
        <v>4.3299999999999998E-2</v>
      </c>
      <c r="AN159">
        <v>0.10300000000000001</v>
      </c>
      <c r="AO159">
        <v>0.2</v>
      </c>
      <c r="AP159">
        <v>0.627</v>
      </c>
      <c r="AQ159">
        <v>1.27</v>
      </c>
      <c r="AR159">
        <v>1.86</v>
      </c>
      <c r="AS159">
        <v>5.0813841533806601</v>
      </c>
      <c r="AT159">
        <v>7.0380231165045002</v>
      </c>
      <c r="AU159">
        <v>11.9</v>
      </c>
      <c r="AV159">
        <v>12.9</v>
      </c>
      <c r="AW159">
        <v>14.1</v>
      </c>
      <c r="AX159">
        <v>17.209999079999999</v>
      </c>
      <c r="AY159">
        <v>19.520000459999999</v>
      </c>
      <c r="AZ159">
        <v>20.81</v>
      </c>
      <c r="BA159">
        <v>21.71</v>
      </c>
      <c r="BB159">
        <v>26.34</v>
      </c>
      <c r="BC159">
        <v>31.05</v>
      </c>
      <c r="BD159">
        <v>37.1762954125184</v>
      </c>
      <c r="BE159">
        <v>39.75</v>
      </c>
      <c r="BF159">
        <v>43.46</v>
      </c>
      <c r="BG159">
        <v>44.3856962723411</v>
      </c>
      <c r="BH159">
        <v>57.431042992363302</v>
      </c>
      <c r="BI159">
        <v>59.540445996725502</v>
      </c>
      <c r="BJ159">
        <v>53.0317886110982</v>
      </c>
      <c r="BK159">
        <v>56.6595667981289</v>
      </c>
      <c r="BL159">
        <v>69.6321092705209</v>
      </c>
      <c r="BM159">
        <v>71.49017499</v>
      </c>
      <c r="BN159">
        <v>75.626504760000003</v>
      </c>
      <c r="BO159">
        <v>78.632178940000003</v>
      </c>
      <c r="BP159">
        <v>81.18318755</v>
      </c>
      <c r="BQ159">
        <v>83.122337990000005</v>
      </c>
    </row>
    <row r="160" spans="1:70">
      <c r="A160" t="s">
        <v>385</v>
      </c>
      <c r="B160" t="s">
        <v>386</v>
      </c>
      <c r="C160" t="s">
        <v>75</v>
      </c>
      <c r="D160" t="s">
        <v>76</v>
      </c>
      <c r="AI160">
        <v>0</v>
      </c>
      <c r="AJ160">
        <v>0</v>
      </c>
      <c r="AK160">
        <v>0</v>
      </c>
      <c r="AL160">
        <v>0</v>
      </c>
      <c r="AM160">
        <v>0</v>
      </c>
      <c r="AN160">
        <v>0</v>
      </c>
      <c r="AO160">
        <v>3.7100000000000001E-2</v>
      </c>
      <c r="AR160">
        <v>0.96599999999999997</v>
      </c>
      <c r="AS160">
        <v>1.53427179624871</v>
      </c>
      <c r="AT160">
        <v>1.7066140776698999</v>
      </c>
      <c r="AU160">
        <v>2.33544457522934</v>
      </c>
      <c r="AV160">
        <v>2.5697503671072002</v>
      </c>
      <c r="AW160">
        <v>3.5997768138375399</v>
      </c>
      <c r="AX160">
        <v>3.8787023977433002</v>
      </c>
      <c r="AY160">
        <v>3.7955902142783202</v>
      </c>
      <c r="AZ160">
        <v>3.9500000480000002</v>
      </c>
      <c r="BA160">
        <v>4.5999999049999998</v>
      </c>
      <c r="BB160">
        <v>5.5999999049999998</v>
      </c>
      <c r="BC160">
        <v>7</v>
      </c>
      <c r="BD160">
        <v>10</v>
      </c>
      <c r="BE160">
        <v>12.5</v>
      </c>
      <c r="BF160">
        <v>14</v>
      </c>
      <c r="BG160">
        <v>16.799999240000002</v>
      </c>
      <c r="BH160">
        <v>19.282400129999999</v>
      </c>
      <c r="BI160">
        <v>29.787799840000002</v>
      </c>
      <c r="BJ160">
        <v>38.701198580000003</v>
      </c>
      <c r="BK160">
        <v>43.882499690000003</v>
      </c>
      <c r="BL160">
        <v>49.757499690000003</v>
      </c>
      <c r="BM160">
        <v>56.41910172</v>
      </c>
      <c r="BN160">
        <v>63.972599029999998</v>
      </c>
      <c r="BO160">
        <v>64.267196659999996</v>
      </c>
      <c r="BP160">
        <v>64.075897220000002</v>
      </c>
      <c r="BQ160">
        <v>65.915801999999999</v>
      </c>
    </row>
    <row r="161" spans="1:70">
      <c r="A161" t="s">
        <v>387</v>
      </c>
      <c r="B161" t="s">
        <v>388</v>
      </c>
      <c r="C161" t="s">
        <v>75</v>
      </c>
      <c r="D161" t="s">
        <v>76</v>
      </c>
    </row>
    <row r="162" spans="1:70">
      <c r="A162" t="s">
        <v>389</v>
      </c>
      <c r="B162" t="s">
        <v>390</v>
      </c>
      <c r="C162" t="s">
        <v>75</v>
      </c>
      <c r="D162" t="s">
        <v>76</v>
      </c>
      <c r="AI162">
        <v>0</v>
      </c>
      <c r="AN162">
        <v>4.07E-2</v>
      </c>
      <c r="AO162">
        <v>7.5999999999999998E-2</v>
      </c>
      <c r="AP162">
        <v>0.504</v>
      </c>
      <c r="AQ162">
        <v>1</v>
      </c>
      <c r="AR162">
        <v>1.5</v>
      </c>
      <c r="AS162">
        <v>2.4855663164006598</v>
      </c>
      <c r="AT162">
        <v>3.46818460849398</v>
      </c>
      <c r="AU162">
        <v>17.329999999999998</v>
      </c>
      <c r="AV162">
        <v>19.07</v>
      </c>
      <c r="AW162">
        <v>24.44</v>
      </c>
      <c r="AX162">
        <v>26.450000760000002</v>
      </c>
      <c r="AY162">
        <v>28.62</v>
      </c>
      <c r="AZ162">
        <v>36.299999239999998</v>
      </c>
      <c r="BA162">
        <v>46.04</v>
      </c>
      <c r="BB162">
        <v>51.77</v>
      </c>
      <c r="BC162">
        <v>51.9</v>
      </c>
      <c r="BD162">
        <v>56.7</v>
      </c>
      <c r="BE162">
        <v>57.449947312961001</v>
      </c>
      <c r="BF162">
        <v>65.239999999999995</v>
      </c>
      <c r="BG162">
        <v>68.058481539749593</v>
      </c>
      <c r="BH162">
        <v>70.380203076668906</v>
      </c>
      <c r="BI162">
        <v>72.156814467605798</v>
      </c>
      <c r="BJ162">
        <v>74.516824180795396</v>
      </c>
      <c r="BK162">
        <v>79.167755185087103</v>
      </c>
      <c r="BL162">
        <v>81.4128827618364</v>
      </c>
      <c r="BM162">
        <v>81.405538109999995</v>
      </c>
      <c r="BN162">
        <v>81.873703000000006</v>
      </c>
      <c r="BO162">
        <v>83.850303650000001</v>
      </c>
      <c r="BP162">
        <v>88.5</v>
      </c>
      <c r="BQ162">
        <v>93.6</v>
      </c>
      <c r="BR162">
        <v>93.1</v>
      </c>
    </row>
    <row r="163" spans="1:70">
      <c r="A163" t="s">
        <v>391</v>
      </c>
      <c r="B163" t="s">
        <v>392</v>
      </c>
      <c r="C163" t="s">
        <v>75</v>
      </c>
      <c r="D163" t="s">
        <v>76</v>
      </c>
      <c r="AI163">
        <v>0</v>
      </c>
      <c r="AO163">
        <v>2.0599999999999998E-3</v>
      </c>
      <c r="AP163">
        <v>1.01E-2</v>
      </c>
      <c r="AQ163">
        <v>1.9799999999999998E-2</v>
      </c>
      <c r="AR163">
        <v>6.0899999999999996E-2</v>
      </c>
      <c r="AS163">
        <v>0.14254575504918399</v>
      </c>
      <c r="AT163">
        <v>0.185897413256084</v>
      </c>
      <c r="AU163">
        <v>0.22704557849170001</v>
      </c>
      <c r="AV163">
        <v>0.31036444323057499</v>
      </c>
      <c r="AW163">
        <v>0.43281963990098499</v>
      </c>
      <c r="AX163">
        <v>0.50709998599999995</v>
      </c>
      <c r="AY163">
        <v>0.72960001200000002</v>
      </c>
      <c r="AZ163">
        <v>0.81</v>
      </c>
      <c r="BA163">
        <v>1.57</v>
      </c>
      <c r="BB163">
        <v>1.7999999520000001</v>
      </c>
      <c r="BC163">
        <v>2</v>
      </c>
      <c r="BD163">
        <v>2.2000000000000002</v>
      </c>
      <c r="BE163">
        <v>2.7999999519999998</v>
      </c>
      <c r="BF163">
        <v>3.5</v>
      </c>
      <c r="BG163">
        <v>7</v>
      </c>
      <c r="BH163">
        <v>10.329999920000001</v>
      </c>
      <c r="BI163">
        <v>14</v>
      </c>
      <c r="BJ163">
        <v>18.899999619999999</v>
      </c>
      <c r="BK163">
        <v>21.399999619999999</v>
      </c>
      <c r="BL163">
        <v>24.960300449999998</v>
      </c>
      <c r="BM163">
        <v>29.11300087</v>
      </c>
      <c r="BN163">
        <v>33.956501009999997</v>
      </c>
      <c r="BO163">
        <v>35.19919968</v>
      </c>
      <c r="BP163">
        <v>36.03879929</v>
      </c>
      <c r="BQ163">
        <v>36.801498410000001</v>
      </c>
    </row>
    <row r="164" spans="1:70">
      <c r="A164" t="s">
        <v>393</v>
      </c>
      <c r="B164" t="s">
        <v>394</v>
      </c>
      <c r="C164" t="s">
        <v>75</v>
      </c>
      <c r="D164" t="s">
        <v>76</v>
      </c>
      <c r="AI164">
        <v>0</v>
      </c>
      <c r="AN164">
        <v>0.22500000000000001</v>
      </c>
      <c r="AO164">
        <v>1.05</v>
      </c>
      <c r="AP164">
        <v>3.92</v>
      </c>
      <c r="AQ164">
        <v>6.5</v>
      </c>
      <c r="AR164">
        <v>7.76</v>
      </c>
      <c r="AS164">
        <v>13.113708711102401</v>
      </c>
      <c r="AT164">
        <v>17.877848324334799</v>
      </c>
      <c r="AU164">
        <v>28.92</v>
      </c>
      <c r="AV164">
        <v>31.64</v>
      </c>
      <c r="AW164">
        <v>34.619999999999997</v>
      </c>
      <c r="AX164">
        <v>41.24</v>
      </c>
      <c r="AY164">
        <v>40.409999999999997</v>
      </c>
      <c r="AZ164">
        <v>46.9</v>
      </c>
      <c r="BA164">
        <v>50.08</v>
      </c>
      <c r="BB164">
        <v>58.86</v>
      </c>
      <c r="BC164">
        <v>63</v>
      </c>
      <c r="BD164">
        <v>68.019823788546205</v>
      </c>
      <c r="BE164">
        <v>68.199874292897505</v>
      </c>
      <c r="BF164">
        <v>68.913799999999995</v>
      </c>
      <c r="BG164">
        <v>73.114115784519299</v>
      </c>
      <c r="BH164">
        <v>75.960018975274707</v>
      </c>
      <c r="BI164">
        <v>78.075148803218198</v>
      </c>
      <c r="BJ164">
        <v>81.011911076294496</v>
      </c>
      <c r="BK164">
        <v>81.658044292801407</v>
      </c>
      <c r="BL164">
        <v>85.778596379803105</v>
      </c>
      <c r="BM164">
        <v>86.858761830000006</v>
      </c>
      <c r="BN164">
        <v>87.46977742</v>
      </c>
      <c r="BO164">
        <v>91.540622089999999</v>
      </c>
      <c r="BP164">
        <v>92.072669410000003</v>
      </c>
      <c r="BQ164">
        <v>93.860298159999999</v>
      </c>
    </row>
    <row r="165" spans="1:70">
      <c r="A165" t="s">
        <v>395</v>
      </c>
      <c r="B165" t="s">
        <v>396</v>
      </c>
      <c r="C165" t="s">
        <v>75</v>
      </c>
      <c r="D165" t="s">
        <v>76</v>
      </c>
      <c r="AI165">
        <v>0</v>
      </c>
      <c r="AR165">
        <v>1.5200000000000001E-4</v>
      </c>
      <c r="AT165">
        <v>2.8927738084856102E-4</v>
      </c>
      <c r="AU165">
        <v>4.2649350636188998E-4</v>
      </c>
      <c r="AV165">
        <v>2.4064149140846501E-2</v>
      </c>
      <c r="AW165">
        <v>2.4337392002823002E-2</v>
      </c>
      <c r="AX165">
        <v>6.5200000999999994E-2</v>
      </c>
      <c r="AY165">
        <v>0.18204833106115001</v>
      </c>
      <c r="AZ165">
        <v>0.21712844506995799</v>
      </c>
      <c r="BA165">
        <v>0.22</v>
      </c>
      <c r="BB165">
        <v>0.219999999</v>
      </c>
      <c r="BC165">
        <v>0.25</v>
      </c>
      <c r="BD165">
        <v>0.98</v>
      </c>
      <c r="BE165">
        <v>1.3999999759999999</v>
      </c>
      <c r="BF165">
        <v>1.7999999520000001</v>
      </c>
      <c r="BG165">
        <v>7.4000000950000002</v>
      </c>
      <c r="BH165">
        <v>10.899999619999999</v>
      </c>
      <c r="BI165">
        <v>16</v>
      </c>
      <c r="BJ165">
        <v>23.621081950267001</v>
      </c>
      <c r="BK165">
        <v>29.378999709999999</v>
      </c>
      <c r="BL165">
        <v>36.540500639999998</v>
      </c>
      <c r="BM165">
        <v>45.447700500000003</v>
      </c>
    </row>
    <row r="166" spans="1:70">
      <c r="A166" t="s">
        <v>397</v>
      </c>
      <c r="B166" t="s">
        <v>398</v>
      </c>
      <c r="C166" t="s">
        <v>75</v>
      </c>
      <c r="D166" t="s">
        <v>76</v>
      </c>
      <c r="AX166">
        <v>7.5</v>
      </c>
      <c r="AY166">
        <v>8.4</v>
      </c>
      <c r="AZ166">
        <v>9.6999999999999993</v>
      </c>
      <c r="BA166">
        <v>11.7</v>
      </c>
      <c r="BB166">
        <v>13.5</v>
      </c>
      <c r="BC166">
        <v>15.5</v>
      </c>
      <c r="BD166">
        <v>16.899999999999999</v>
      </c>
      <c r="BE166">
        <v>18.7</v>
      </c>
      <c r="BF166">
        <v>21.3</v>
      </c>
      <c r="BG166">
        <v>24.7</v>
      </c>
      <c r="BH166">
        <v>27.6</v>
      </c>
      <c r="BI166">
        <v>30.8</v>
      </c>
      <c r="BJ166">
        <v>34.799999999999997</v>
      </c>
      <c r="BK166">
        <v>37.6</v>
      </c>
      <c r="BL166">
        <v>41.5</v>
      </c>
      <c r="BM166">
        <v>46.4</v>
      </c>
      <c r="BN166">
        <v>50.2</v>
      </c>
      <c r="BO166">
        <v>54.1</v>
      </c>
      <c r="BP166">
        <v>55.9</v>
      </c>
      <c r="BQ166">
        <v>58</v>
      </c>
      <c r="BR166">
        <v>0</v>
      </c>
    </row>
    <row r="167" spans="1:70">
      <c r="A167" t="s">
        <v>399</v>
      </c>
      <c r="B167" t="s">
        <v>400</v>
      </c>
      <c r="C167" t="s">
        <v>75</v>
      </c>
      <c r="D167" t="s">
        <v>76</v>
      </c>
      <c r="AW167">
        <v>25.3500686036232</v>
      </c>
      <c r="AX167">
        <v>27.100000380000001</v>
      </c>
      <c r="AY167">
        <v>28.899999619999999</v>
      </c>
      <c r="AZ167">
        <v>30.799999240000002</v>
      </c>
      <c r="BA167">
        <v>32.900001529999997</v>
      </c>
      <c r="BB167">
        <v>35.099998470000003</v>
      </c>
      <c r="BC167">
        <v>37.5</v>
      </c>
      <c r="BD167">
        <v>35.611541246010901</v>
      </c>
      <c r="BE167">
        <v>56.838782549063097</v>
      </c>
      <c r="BF167">
        <v>60.31</v>
      </c>
      <c r="BG167">
        <v>63.8868840056697</v>
      </c>
      <c r="BH167">
        <v>68.1197860085679</v>
      </c>
      <c r="BI167">
        <v>69.881646841677906</v>
      </c>
      <c r="BJ167">
        <v>71.272332539938205</v>
      </c>
      <c r="BK167">
        <v>71.517100487488605</v>
      </c>
      <c r="BL167">
        <v>73.476665747869106</v>
      </c>
      <c r="BM167">
        <v>77.608793059999996</v>
      </c>
      <c r="BN167">
        <v>82.219697519999997</v>
      </c>
      <c r="BO167">
        <v>88.221920260000005</v>
      </c>
      <c r="BP167">
        <v>88.551597599999994</v>
      </c>
      <c r="BQ167">
        <v>88.882584280000003</v>
      </c>
    </row>
    <row r="168" spans="1:70">
      <c r="A168" t="s">
        <v>401</v>
      </c>
      <c r="B168" t="s">
        <v>402</v>
      </c>
      <c r="C168" t="s">
        <v>75</v>
      </c>
      <c r="D168" t="s">
        <v>76</v>
      </c>
      <c r="AI168">
        <v>0</v>
      </c>
      <c r="AN168">
        <v>8.8100000000000001E-3</v>
      </c>
      <c r="AO168">
        <v>1.8200000000000001E-2</v>
      </c>
      <c r="AP168">
        <v>0.11299999999999999</v>
      </c>
      <c r="AQ168">
        <v>0.14599999999999999</v>
      </c>
      <c r="AR168">
        <v>0.50800000000000001</v>
      </c>
      <c r="AS168">
        <v>1.2556520035811201</v>
      </c>
      <c r="AT168">
        <v>1.6532382390698199</v>
      </c>
      <c r="AU168">
        <v>2.0395726034817998</v>
      </c>
      <c r="AX168">
        <v>9</v>
      </c>
      <c r="AY168">
        <v>9</v>
      </c>
      <c r="AZ168">
        <v>9</v>
      </c>
      <c r="BA168">
        <v>9.8000001910000005</v>
      </c>
      <c r="BB168">
        <v>10</v>
      </c>
      <c r="BC168">
        <v>10.199999999999999</v>
      </c>
      <c r="BD168">
        <v>12.4999911084745</v>
      </c>
      <c r="BE168">
        <v>16.399999999999999</v>
      </c>
      <c r="BF168">
        <v>17.699984236999999</v>
      </c>
      <c r="BG168">
        <v>19.942447434920901</v>
      </c>
      <c r="BH168">
        <v>22.500004133768801</v>
      </c>
      <c r="BI168">
        <v>22.265770500756201</v>
      </c>
      <c r="BJ168">
        <v>23.714300160000001</v>
      </c>
      <c r="BK168">
        <v>47.130001884898903</v>
      </c>
      <c r="BL168">
        <v>51.079994082603001</v>
      </c>
      <c r="BM168">
        <v>62.500028479999997</v>
      </c>
      <c r="BN168">
        <v>81.60682285</v>
      </c>
      <c r="BO168">
        <v>81.077201840000001</v>
      </c>
      <c r="BP168">
        <v>83.743202210000007</v>
      </c>
      <c r="BQ168">
        <v>85.123497009999994</v>
      </c>
    </row>
    <row r="169" spans="1:70">
      <c r="A169" t="s">
        <v>403</v>
      </c>
      <c r="B169" t="s">
        <v>404</v>
      </c>
      <c r="C169" t="s">
        <v>75</v>
      </c>
      <c r="D169" t="s">
        <v>76</v>
      </c>
      <c r="AI169">
        <v>0</v>
      </c>
    </row>
    <row r="170" spans="1:70">
      <c r="A170" t="s">
        <v>405</v>
      </c>
      <c r="B170" t="s">
        <v>406</v>
      </c>
      <c r="C170" t="s">
        <v>75</v>
      </c>
      <c r="D170" t="s">
        <v>76</v>
      </c>
      <c r="AI170">
        <v>0</v>
      </c>
      <c r="AO170">
        <v>3.0400000000000002E-3</v>
      </c>
      <c r="AP170">
        <v>1.18E-2</v>
      </c>
      <c r="AQ170">
        <v>2.0199999999999999E-2</v>
      </c>
      <c r="AR170">
        <v>5.6300000000000003E-2</v>
      </c>
      <c r="AS170">
        <v>0.109592530041641</v>
      </c>
      <c r="AT170">
        <v>0.160031946644069</v>
      </c>
      <c r="AU170">
        <v>0.25961261125373902</v>
      </c>
      <c r="AV170">
        <v>0.41953884391370699</v>
      </c>
      <c r="AW170">
        <v>0.67944783539243803</v>
      </c>
      <c r="AX170">
        <v>0.85439997899999998</v>
      </c>
      <c r="AY170">
        <v>0.84295448804423601</v>
      </c>
      <c r="AZ170">
        <v>0.91</v>
      </c>
      <c r="BA170">
        <v>1.56</v>
      </c>
      <c r="BB170">
        <v>2.68</v>
      </c>
      <c r="BC170">
        <v>4.17</v>
      </c>
      <c r="BD170">
        <v>4.5999999049999998</v>
      </c>
      <c r="BE170">
        <v>5</v>
      </c>
      <c r="BF170">
        <v>5.5</v>
      </c>
      <c r="BG170">
        <v>6</v>
      </c>
      <c r="BH170">
        <v>6.5</v>
      </c>
      <c r="BI170">
        <v>7</v>
      </c>
      <c r="BJ170">
        <v>7.7963266079129001</v>
      </c>
      <c r="BK170">
        <v>10.899999619999999</v>
      </c>
      <c r="BL170">
        <v>12.47929955</v>
      </c>
      <c r="BM170">
        <v>14.287400249999999</v>
      </c>
      <c r="BN170">
        <v>16.357599260000001</v>
      </c>
      <c r="BO170">
        <v>18.962200159999998</v>
      </c>
      <c r="BP170">
        <v>19.945600509999998</v>
      </c>
      <c r="BQ170">
        <v>20.527299880000001</v>
      </c>
    </row>
    <row r="171" spans="1:70">
      <c r="A171" t="s">
        <v>407</v>
      </c>
      <c r="B171" t="s">
        <v>408</v>
      </c>
      <c r="C171" t="s">
        <v>75</v>
      </c>
      <c r="D171" t="s">
        <v>76</v>
      </c>
      <c r="AI171">
        <v>0</v>
      </c>
      <c r="AP171">
        <v>4.1700000000000001E-3</v>
      </c>
      <c r="AQ171">
        <v>4.0599999999999997E-2</v>
      </c>
      <c r="AR171">
        <v>0.11800000000000001</v>
      </c>
      <c r="AS171">
        <v>0.19203146243480501</v>
      </c>
      <c r="AT171">
        <v>0.26144855196719502</v>
      </c>
      <c r="AU171">
        <v>0.36322941460857899</v>
      </c>
      <c r="AV171">
        <v>0.424004895843197</v>
      </c>
      <c r="AW171">
        <v>0.48147043823095398</v>
      </c>
      <c r="AX171">
        <v>0.670000017</v>
      </c>
      <c r="AY171">
        <v>0.97970002899999997</v>
      </c>
      <c r="AZ171">
        <v>1.433599949</v>
      </c>
      <c r="BA171">
        <v>1.8700000050000001</v>
      </c>
      <c r="BB171">
        <v>2.2799999710000001</v>
      </c>
      <c r="BC171">
        <v>4</v>
      </c>
      <c r="BD171">
        <v>4.5</v>
      </c>
      <c r="BE171">
        <v>5</v>
      </c>
      <c r="BF171">
        <v>6.1999998090000004</v>
      </c>
      <c r="BG171">
        <v>11.80000019</v>
      </c>
      <c r="BH171">
        <v>17.600000380000001</v>
      </c>
      <c r="BI171">
        <v>19.232799530000001</v>
      </c>
      <c r="BJ171">
        <v>21.017200469999999</v>
      </c>
      <c r="BK171">
        <v>22.966999049999998</v>
      </c>
      <c r="BL171">
        <v>25.097799299999998</v>
      </c>
      <c r="BM171">
        <v>29.90649986</v>
      </c>
      <c r="BN171">
        <v>35.636600489999999</v>
      </c>
      <c r="BO171">
        <v>42.464500430000001</v>
      </c>
      <c r="BP171">
        <v>44.956298830000001</v>
      </c>
      <c r="BQ171">
        <v>45.779399869999999</v>
      </c>
    </row>
    <row r="172" spans="1:70">
      <c r="A172" t="s">
        <v>409</v>
      </c>
      <c r="B172" t="s">
        <v>410</v>
      </c>
      <c r="C172" t="s">
        <v>75</v>
      </c>
      <c r="D172" t="s">
        <v>76</v>
      </c>
      <c r="AI172">
        <v>0</v>
      </c>
      <c r="AO172">
        <v>0.184</v>
      </c>
      <c r="AP172">
        <v>0.47600000000000003</v>
      </c>
      <c r="AQ172">
        <v>2.57</v>
      </c>
      <c r="AR172">
        <v>4.6500000000000004</v>
      </c>
      <c r="AS172">
        <v>7.2815351149938499</v>
      </c>
      <c r="AT172">
        <v>8.78090401892036</v>
      </c>
      <c r="AU172">
        <v>10.252624671915999</v>
      </c>
      <c r="AV172">
        <v>12.187106204130799</v>
      </c>
      <c r="AW172">
        <v>13.689088588534201</v>
      </c>
      <c r="AX172">
        <v>15.172200200000001</v>
      </c>
      <c r="AY172">
        <v>16.7</v>
      </c>
      <c r="AZ172">
        <v>20.22</v>
      </c>
      <c r="BA172">
        <v>21.81</v>
      </c>
      <c r="BB172">
        <v>22.51</v>
      </c>
      <c r="BC172">
        <v>28.33</v>
      </c>
      <c r="BD172">
        <v>34.950000760000002</v>
      </c>
      <c r="BE172">
        <v>35.42</v>
      </c>
      <c r="BF172">
        <v>40.116825134999999</v>
      </c>
      <c r="BG172">
        <v>44.8032753683379</v>
      </c>
      <c r="BH172">
        <v>50.1393184766711</v>
      </c>
      <c r="BI172">
        <v>52.191299440000002</v>
      </c>
      <c r="BJ172">
        <v>55.403240300265701</v>
      </c>
      <c r="BK172">
        <v>58.596169704299001</v>
      </c>
      <c r="BL172">
        <v>61.7299551453346</v>
      </c>
      <c r="BM172">
        <v>67.732906839999998</v>
      </c>
      <c r="BN172">
        <v>71.599998470000003</v>
      </c>
      <c r="BO172">
        <v>75.5</v>
      </c>
      <c r="BP172">
        <v>79.5</v>
      </c>
      <c r="BQ172">
        <v>73.307935330000007</v>
      </c>
    </row>
    <row r="173" spans="1:70">
      <c r="A173" t="s">
        <v>411</v>
      </c>
      <c r="B173" t="s">
        <v>412</v>
      </c>
      <c r="C173" t="s">
        <v>75</v>
      </c>
      <c r="D173" t="s">
        <v>76</v>
      </c>
      <c r="AI173">
        <v>0</v>
      </c>
      <c r="AP173">
        <v>4.6699999999999997E-3</v>
      </c>
      <c r="AQ173">
        <v>1.8100000000000002E-2</v>
      </c>
      <c r="AR173">
        <v>8.7300000000000003E-2</v>
      </c>
      <c r="AS173">
        <v>0.12678094475638699</v>
      </c>
      <c r="AT173">
        <v>0.164020725330811</v>
      </c>
      <c r="AU173">
        <v>0.21509472652259001</v>
      </c>
      <c r="AV173">
        <v>0.27881511630230399</v>
      </c>
      <c r="AW173">
        <v>0.34750533496757702</v>
      </c>
      <c r="AX173">
        <v>0.38449999699999998</v>
      </c>
      <c r="AY173">
        <v>0.42509999900000001</v>
      </c>
      <c r="AZ173">
        <v>0.96586473655313199</v>
      </c>
      <c r="BA173">
        <v>0.7</v>
      </c>
      <c r="BB173">
        <v>1.07</v>
      </c>
      <c r="BC173">
        <v>2.2599999999999998</v>
      </c>
      <c r="BD173">
        <v>3.33</v>
      </c>
      <c r="BE173">
        <v>4.3505997660000002</v>
      </c>
      <c r="BF173">
        <v>5.0500001909999996</v>
      </c>
      <c r="BG173">
        <v>5.829999924</v>
      </c>
      <c r="BH173">
        <v>6</v>
      </c>
      <c r="BI173">
        <v>6.3000001909999996</v>
      </c>
      <c r="BJ173">
        <v>7</v>
      </c>
      <c r="BK173">
        <v>8.7982997889999996</v>
      </c>
      <c r="BL173">
        <v>11.05860043</v>
      </c>
      <c r="BM173">
        <v>13.89949989</v>
      </c>
      <c r="BN173">
        <v>15.303000450000001</v>
      </c>
      <c r="BO173">
        <v>16.848300930000001</v>
      </c>
      <c r="BP173">
        <v>17.988103460000001</v>
      </c>
      <c r="BQ173">
        <v>18.96159935</v>
      </c>
    </row>
    <row r="174" spans="1:70">
      <c r="A174" t="s">
        <v>413</v>
      </c>
      <c r="B174" t="s">
        <v>414</v>
      </c>
      <c r="C174" t="s">
        <v>75</v>
      </c>
      <c r="D174" t="s">
        <v>76</v>
      </c>
      <c r="AI174">
        <v>0</v>
      </c>
      <c r="AK174">
        <v>1.0499999999999999E-3</v>
      </c>
      <c r="AL174">
        <v>2.5500000000000002E-2</v>
      </c>
      <c r="AM174">
        <v>9.9599999999999994E-2</v>
      </c>
      <c r="AN174">
        <v>0.14599999999999999</v>
      </c>
      <c r="AO174">
        <v>0.85199999999999998</v>
      </c>
      <c r="AP174">
        <v>2.31</v>
      </c>
      <c r="AQ174">
        <v>6.75</v>
      </c>
      <c r="AR174">
        <v>12.3</v>
      </c>
      <c r="AS174">
        <v>21.3847311644538</v>
      </c>
      <c r="AT174">
        <v>26.6959725007084</v>
      </c>
      <c r="AU174">
        <v>32.338204338935903</v>
      </c>
      <c r="AV174">
        <v>34.971152339729102</v>
      </c>
      <c r="AW174">
        <v>42.2522656295248</v>
      </c>
      <c r="AX174">
        <v>48.6291702459839</v>
      </c>
      <c r="AY174">
        <v>51.637988986440298</v>
      </c>
      <c r="AZ174">
        <v>55.7</v>
      </c>
      <c r="BA174">
        <v>55.8</v>
      </c>
      <c r="BB174">
        <v>55.9</v>
      </c>
      <c r="BC174">
        <v>56.3</v>
      </c>
      <c r="BD174">
        <v>61</v>
      </c>
      <c r="BE174">
        <v>65.8</v>
      </c>
      <c r="BF174">
        <v>57.057512260000003</v>
      </c>
      <c r="BG174">
        <v>63.665425881322498</v>
      </c>
      <c r="BH174">
        <v>71.064067811195699</v>
      </c>
      <c r="BI174">
        <v>78.788309927522903</v>
      </c>
      <c r="BJ174">
        <v>80.140479010396106</v>
      </c>
      <c r="BK174">
        <v>81.201048618117397</v>
      </c>
      <c r="BL174">
        <v>84.187145007828093</v>
      </c>
      <c r="BM174">
        <v>89.555011919999998</v>
      </c>
      <c r="BN174">
        <v>96.751427800000002</v>
      </c>
      <c r="BO174">
        <v>97.398640400000005</v>
      </c>
      <c r="BP174">
        <v>97.692726329999999</v>
      </c>
      <c r="BQ174">
        <v>98.020605900000007</v>
      </c>
    </row>
    <row r="175" spans="1:70">
      <c r="A175" t="s">
        <v>415</v>
      </c>
      <c r="B175" t="s">
        <v>416</v>
      </c>
      <c r="C175" t="s">
        <v>75</v>
      </c>
      <c r="D175" t="s">
        <v>76</v>
      </c>
      <c r="AX175">
        <v>68.3</v>
      </c>
      <c r="AY175">
        <v>69.3</v>
      </c>
      <c r="AZ175">
        <v>74.8</v>
      </c>
      <c r="BA175">
        <v>74.3</v>
      </c>
      <c r="BB175">
        <v>71.900000000000006</v>
      </c>
      <c r="BC175">
        <v>72.5</v>
      </c>
      <c r="BD175">
        <v>71</v>
      </c>
      <c r="BE175">
        <v>75.5</v>
      </c>
      <c r="BF175">
        <v>72.8</v>
      </c>
      <c r="BG175">
        <v>74.400000000000006</v>
      </c>
      <c r="BH175">
        <v>76.099999999999994</v>
      </c>
      <c r="BI175">
        <v>86.1</v>
      </c>
      <c r="BJ175">
        <v>87.8</v>
      </c>
      <c r="BK175">
        <v>89.1</v>
      </c>
      <c r="BL175">
        <v>89.7</v>
      </c>
      <c r="BM175">
        <v>90.5</v>
      </c>
      <c r="BN175">
        <v>91.5</v>
      </c>
      <c r="BO175">
        <v>92.6</v>
      </c>
      <c r="BP175">
        <v>93.3</v>
      </c>
      <c r="BQ175">
        <v>94.4</v>
      </c>
      <c r="BR175">
        <v>95.6</v>
      </c>
    </row>
    <row r="176" spans="1:70">
      <c r="A176" t="s">
        <v>417</v>
      </c>
      <c r="B176" t="s">
        <v>418</v>
      </c>
      <c r="C176" t="s">
        <v>75</v>
      </c>
      <c r="D176" t="s">
        <v>76</v>
      </c>
      <c r="AI176">
        <v>0</v>
      </c>
      <c r="AN176">
        <v>6.1699999999999993E-3</v>
      </c>
      <c r="AO176">
        <v>9.0299999999999998E-3</v>
      </c>
      <c r="AP176">
        <v>5.8799999999999998E-2</v>
      </c>
      <c r="AQ176">
        <v>0.28700000000000003</v>
      </c>
      <c r="AR176">
        <v>0.33600000000000002</v>
      </c>
      <c r="AS176">
        <v>1.6447395472689901</v>
      </c>
      <c r="AT176">
        <v>2.4169794417099801</v>
      </c>
      <c r="AU176">
        <v>2.6336997687611601</v>
      </c>
      <c r="AV176">
        <v>3.3598398855380101</v>
      </c>
      <c r="AW176">
        <v>3.8047156152630999</v>
      </c>
      <c r="AX176">
        <v>4.0100002290000001</v>
      </c>
      <c r="AY176">
        <v>4.3988706473272599</v>
      </c>
      <c r="AZ176">
        <v>4.8356107783370401</v>
      </c>
      <c r="BA176">
        <v>5.32900377208954</v>
      </c>
      <c r="BB176">
        <v>6.5</v>
      </c>
      <c r="BC176">
        <v>11.6</v>
      </c>
      <c r="BD176">
        <v>12</v>
      </c>
      <c r="BE176">
        <v>12.94139957</v>
      </c>
      <c r="BF176">
        <v>13.899999620000001</v>
      </c>
      <c r="BG176">
        <v>14.84000015</v>
      </c>
      <c r="BH176">
        <v>25.687900540000001</v>
      </c>
      <c r="BI176">
        <v>31.033300400000002</v>
      </c>
      <c r="BJ176">
        <v>36.837398530000002</v>
      </c>
      <c r="BK176">
        <v>42.8207016</v>
      </c>
      <c r="BL176">
        <v>49.775901789999999</v>
      </c>
      <c r="BM176">
        <v>57.860801700000003</v>
      </c>
      <c r="BN176">
        <v>60.259998320000001</v>
      </c>
      <c r="BO176">
        <v>62.99720001</v>
      </c>
      <c r="BP176">
        <v>63.695499419999997</v>
      </c>
      <c r="BQ176">
        <v>64.874603269999994</v>
      </c>
    </row>
    <row r="177" spans="1:69">
      <c r="A177" t="s">
        <v>419</v>
      </c>
      <c r="B177" t="s">
        <v>420</v>
      </c>
      <c r="C177" t="s">
        <v>75</v>
      </c>
      <c r="D177" t="s">
        <v>76</v>
      </c>
      <c r="AI177">
        <v>0</v>
      </c>
      <c r="AN177">
        <v>5.1799999999999997E-3</v>
      </c>
      <c r="AO177">
        <v>0.253</v>
      </c>
      <c r="AP177">
        <v>0.98899999999999999</v>
      </c>
      <c r="AQ177">
        <v>1.94</v>
      </c>
      <c r="AR177">
        <v>5.69</v>
      </c>
      <c r="AS177">
        <v>13.939548823269799</v>
      </c>
      <c r="AT177">
        <v>18.2371097828416</v>
      </c>
      <c r="AU177">
        <v>22.389797417113002</v>
      </c>
      <c r="AV177">
        <v>26.408334470358799</v>
      </c>
      <c r="AW177">
        <v>30.298046208848799</v>
      </c>
      <c r="AX177">
        <v>32.359014753156103</v>
      </c>
      <c r="AY177">
        <v>33.515714680720897</v>
      </c>
      <c r="AZ177">
        <v>35.049999999999997</v>
      </c>
      <c r="BA177">
        <v>34.51</v>
      </c>
      <c r="BB177">
        <v>33.99</v>
      </c>
      <c r="BC177">
        <v>42</v>
      </c>
      <c r="BD177">
        <v>50</v>
      </c>
      <c r="BE177">
        <v>58</v>
      </c>
      <c r="BF177">
        <v>66</v>
      </c>
      <c r="BG177">
        <v>70</v>
      </c>
      <c r="BH177">
        <v>74.001752791409999</v>
      </c>
      <c r="BJ177">
        <v>82.005840803518595</v>
      </c>
    </row>
    <row r="178" spans="1:69">
      <c r="A178" t="s">
        <v>421</v>
      </c>
      <c r="B178" t="s">
        <v>422</v>
      </c>
      <c r="C178" t="s">
        <v>75</v>
      </c>
      <c r="D178" t="s">
        <v>76</v>
      </c>
      <c r="AI178">
        <v>0</v>
      </c>
      <c r="AO178">
        <v>1.0400000000000001E-3</v>
      </c>
      <c r="AP178">
        <v>2.0100000000000001E-3</v>
      </c>
      <c r="AQ178">
        <v>2.9099999999999998E-3</v>
      </c>
      <c r="AR178">
        <v>2.81E-2</v>
      </c>
      <c r="AS178">
        <v>3.6261293806589101E-2</v>
      </c>
      <c r="AT178">
        <v>0.10518543139701</v>
      </c>
      <c r="AU178">
        <v>0.127152468779619</v>
      </c>
      <c r="AV178">
        <v>0.155698703668983</v>
      </c>
      <c r="AW178">
        <v>0.18993373370309199</v>
      </c>
      <c r="AX178">
        <v>0.22130000599999999</v>
      </c>
      <c r="AY178">
        <v>0.29399999999999998</v>
      </c>
      <c r="AZ178">
        <v>0.39039999199999997</v>
      </c>
      <c r="BA178">
        <v>0.7</v>
      </c>
      <c r="BB178">
        <v>0.76</v>
      </c>
      <c r="BC178">
        <v>0.829999983</v>
      </c>
      <c r="BD178">
        <v>0.9</v>
      </c>
      <c r="BE178">
        <v>1.0499999520000001</v>
      </c>
      <c r="BF178">
        <v>1.1499999759999999</v>
      </c>
      <c r="BG178">
        <v>1.24867568902241</v>
      </c>
      <c r="BH178">
        <v>2.4762001040000001</v>
      </c>
      <c r="BI178">
        <v>4.3228001589999998</v>
      </c>
      <c r="BJ178">
        <v>10.224311558656099</v>
      </c>
      <c r="BK178">
        <v>10.74180031</v>
      </c>
      <c r="BL178">
        <v>11.285499570000001</v>
      </c>
      <c r="BM178">
        <v>11.856800079999999</v>
      </c>
      <c r="BN178">
        <v>12.45689964</v>
      </c>
      <c r="BO178">
        <v>13.087499620000001</v>
      </c>
      <c r="BP178">
        <v>12.98079967</v>
      </c>
      <c r="BQ178">
        <v>15.557600020000001</v>
      </c>
    </row>
    <row r="179" spans="1:69">
      <c r="A179" t="s">
        <v>423</v>
      </c>
      <c r="B179" t="s">
        <v>424</v>
      </c>
      <c r="C179" t="s">
        <v>75</v>
      </c>
      <c r="D179" t="s">
        <v>76</v>
      </c>
      <c r="AI179">
        <v>0</v>
      </c>
      <c r="AO179">
        <v>8.830000000000001E-3</v>
      </c>
      <c r="AP179">
        <v>1.72E-2</v>
      </c>
      <c r="AQ179">
        <v>2.52E-2</v>
      </c>
      <c r="AR179">
        <v>4.1000000000000002E-2</v>
      </c>
      <c r="AS179">
        <v>6.4080807949410096E-2</v>
      </c>
      <c r="AT179">
        <v>8.9901370457273005E-2</v>
      </c>
      <c r="AU179">
        <v>0.32046197554232703</v>
      </c>
      <c r="AV179">
        <v>0.55857624486052104</v>
      </c>
      <c r="AW179">
        <v>1.2861376413452701</v>
      </c>
      <c r="AX179">
        <v>3.5491557179649198</v>
      </c>
      <c r="AY179">
        <v>5.5450360830053604</v>
      </c>
      <c r="AZ179">
        <v>6.7699999809999998</v>
      </c>
      <c r="BA179">
        <v>8</v>
      </c>
      <c r="BB179">
        <v>9.3000001910000005</v>
      </c>
      <c r="BC179">
        <v>11.5</v>
      </c>
      <c r="BD179">
        <v>13.80000019</v>
      </c>
      <c r="BE179">
        <v>16.100000380000001</v>
      </c>
      <c r="BF179">
        <v>19.100000380000001</v>
      </c>
      <c r="BG179">
        <v>21</v>
      </c>
      <c r="BH179">
        <v>22.514200209999998</v>
      </c>
      <c r="BI179">
        <v>24.137500760000002</v>
      </c>
      <c r="BJ179">
        <v>25.877899169999999</v>
      </c>
      <c r="BK179">
        <v>27.743700029999999</v>
      </c>
      <c r="BL179">
        <v>29.744100570000001</v>
      </c>
      <c r="BM179">
        <v>31.888799670000001</v>
      </c>
      <c r="BN179">
        <v>35.509799960000002</v>
      </c>
      <c r="BO179">
        <v>39.147201539999998</v>
      </c>
      <c r="BP179">
        <v>40.063999180000003</v>
      </c>
      <c r="BQ179">
        <v>41.21139908</v>
      </c>
    </row>
    <row r="180" spans="1:69">
      <c r="A180" t="s">
        <v>425</v>
      </c>
      <c r="B180" t="s">
        <v>426</v>
      </c>
      <c r="C180" t="s">
        <v>75</v>
      </c>
      <c r="D180" t="s">
        <v>76</v>
      </c>
      <c r="AI180">
        <v>0</v>
      </c>
      <c r="AM180">
        <v>1.3200000000000002E-2</v>
      </c>
      <c r="AN180">
        <v>0.03</v>
      </c>
      <c r="AO180">
        <v>8.4099999999999994E-2</v>
      </c>
      <c r="AP180">
        <v>0.20600000000000002</v>
      </c>
      <c r="AQ180">
        <v>0.30399999999999999</v>
      </c>
      <c r="AR180">
        <v>0.498</v>
      </c>
      <c r="AS180">
        <v>0.98021648669238504</v>
      </c>
      <c r="AT180">
        <v>1.4487994282071599</v>
      </c>
      <c r="AU180">
        <v>1.7147295842866801</v>
      </c>
      <c r="AV180">
        <v>1.8804125324230101</v>
      </c>
      <c r="AW180">
        <v>2.3206646086394098</v>
      </c>
      <c r="AX180">
        <v>2.566400051</v>
      </c>
      <c r="AY180">
        <v>2.8055730627336999</v>
      </c>
      <c r="AZ180">
        <v>3.9000000950000002</v>
      </c>
      <c r="BA180">
        <v>5.3000001909999996</v>
      </c>
      <c r="BB180">
        <v>7.3000001909999996</v>
      </c>
      <c r="BC180">
        <v>10</v>
      </c>
      <c r="BD180">
        <v>10.6</v>
      </c>
      <c r="BE180">
        <v>13.5</v>
      </c>
      <c r="BF180">
        <v>15.5</v>
      </c>
      <c r="BG180">
        <v>17.600000380000001</v>
      </c>
      <c r="BH180">
        <v>19.704299930000001</v>
      </c>
      <c r="BI180">
        <v>24.571800230000001</v>
      </c>
      <c r="BJ180">
        <v>30.399999619999999</v>
      </c>
      <c r="BK180">
        <v>33.912998199999997</v>
      </c>
      <c r="BL180">
        <v>39.010799409999997</v>
      </c>
      <c r="BM180">
        <v>44.874900820000001</v>
      </c>
      <c r="BN180">
        <v>51.620399480000003</v>
      </c>
      <c r="BO180">
        <v>59.380001069999999</v>
      </c>
      <c r="BP180">
        <v>60.301200870000002</v>
      </c>
      <c r="BQ180">
        <v>61.395500179999999</v>
      </c>
    </row>
    <row r="181" spans="1:69">
      <c r="A181" t="s">
        <v>427</v>
      </c>
      <c r="B181" t="s">
        <v>428</v>
      </c>
      <c r="C181" t="s">
        <v>75</v>
      </c>
      <c r="D181" t="s">
        <v>76</v>
      </c>
      <c r="AI181">
        <v>0.33400000000000002</v>
      </c>
      <c r="AJ181">
        <v>0.53099999999999992</v>
      </c>
      <c r="AK181">
        <v>1.32</v>
      </c>
      <c r="AL181">
        <v>1.97</v>
      </c>
      <c r="AM181">
        <v>3.26</v>
      </c>
      <c r="AN181">
        <v>6.47</v>
      </c>
      <c r="AO181">
        <v>9.65</v>
      </c>
      <c r="AP181">
        <v>14.1</v>
      </c>
      <c r="AQ181">
        <v>22.2</v>
      </c>
      <c r="AR181">
        <v>39.200000000000003</v>
      </c>
      <c r="AS181">
        <v>43.984351373137997</v>
      </c>
      <c r="AT181">
        <v>49.3730621073123</v>
      </c>
      <c r="AU181">
        <v>61.29</v>
      </c>
      <c r="AV181">
        <v>64.349999999999994</v>
      </c>
      <c r="AW181">
        <v>68.52</v>
      </c>
      <c r="AX181">
        <v>81</v>
      </c>
      <c r="AY181">
        <v>83.7</v>
      </c>
      <c r="AZ181">
        <v>85.82</v>
      </c>
      <c r="BA181">
        <v>87.42</v>
      </c>
      <c r="BB181">
        <v>89.63</v>
      </c>
      <c r="BC181">
        <v>90.72</v>
      </c>
      <c r="BD181">
        <v>91.419995762228396</v>
      </c>
      <c r="BE181">
        <v>92.859992359524995</v>
      </c>
      <c r="BF181">
        <v>93.956400000000002</v>
      </c>
      <c r="BG181">
        <v>91.6666666666667</v>
      </c>
      <c r="BH181">
        <v>91.724137931034505</v>
      </c>
      <c r="BI181">
        <v>90.410958904109606</v>
      </c>
      <c r="BJ181">
        <v>93.197278911564595</v>
      </c>
      <c r="BK181">
        <v>91.891891891891902</v>
      </c>
      <c r="BL181">
        <v>93.288590604026894</v>
      </c>
      <c r="BM181">
        <v>91.333333330000002</v>
      </c>
      <c r="BN181">
        <v>92.052980129999995</v>
      </c>
      <c r="BO181">
        <v>92.519685039999999</v>
      </c>
      <c r="BP181">
        <v>97.006802719999996</v>
      </c>
      <c r="BQ181">
        <v>97.006797789999993</v>
      </c>
    </row>
    <row r="182" spans="1:69">
      <c r="A182" t="s">
        <v>429</v>
      </c>
      <c r="B182" t="s">
        <v>430</v>
      </c>
      <c r="C182" t="s">
        <v>75</v>
      </c>
      <c r="D182" t="s">
        <v>76</v>
      </c>
      <c r="AI182">
        <v>0.70699999999999996</v>
      </c>
      <c r="AJ182">
        <v>1.41</v>
      </c>
      <c r="AK182">
        <v>2.2200000000000002</v>
      </c>
      <c r="AL182">
        <v>2.78</v>
      </c>
      <c r="AM182">
        <v>4.1500000000000004</v>
      </c>
      <c r="AN182">
        <v>6.42</v>
      </c>
      <c r="AO182">
        <v>18.3</v>
      </c>
      <c r="AP182">
        <v>20.399999999999999</v>
      </c>
      <c r="AQ182">
        <v>22.6</v>
      </c>
      <c r="AR182">
        <v>40</v>
      </c>
      <c r="AS182">
        <v>52</v>
      </c>
      <c r="AT182">
        <v>64</v>
      </c>
      <c r="AU182">
        <v>72.84</v>
      </c>
      <c r="AV182">
        <v>78.13</v>
      </c>
      <c r="AW182">
        <v>77.69</v>
      </c>
      <c r="AX182">
        <v>81.99</v>
      </c>
      <c r="AY182">
        <v>82.55</v>
      </c>
      <c r="AZ182">
        <v>86.93</v>
      </c>
      <c r="BA182">
        <v>90.57</v>
      </c>
      <c r="BB182">
        <v>92.08</v>
      </c>
      <c r="BC182">
        <v>93.39</v>
      </c>
      <c r="BD182">
        <v>93.489982651519398</v>
      </c>
      <c r="BE182">
        <v>94.6499780533304</v>
      </c>
      <c r="BF182">
        <v>95.053399999999996</v>
      </c>
      <c r="BG182">
        <v>96.300509824289193</v>
      </c>
      <c r="BH182">
        <v>96.810325691364994</v>
      </c>
      <c r="BI182">
        <v>97.298203667506797</v>
      </c>
      <c r="BJ182">
        <v>96.357601295119096</v>
      </c>
      <c r="BK182">
        <v>96.491657988709406</v>
      </c>
      <c r="BL182">
        <v>98.000004385314199</v>
      </c>
      <c r="BM182">
        <v>94.607556470000006</v>
      </c>
      <c r="BN182">
        <v>99.000003599999999</v>
      </c>
      <c r="BO182">
        <v>98.999977639999997</v>
      </c>
      <c r="BP182">
        <v>99.00000258</v>
      </c>
      <c r="BQ182">
        <v>99</v>
      </c>
    </row>
    <row r="183" spans="1:69">
      <c r="A183" t="s">
        <v>431</v>
      </c>
      <c r="B183" t="s">
        <v>432</v>
      </c>
      <c r="C183" t="s">
        <v>75</v>
      </c>
      <c r="D183" t="s">
        <v>76</v>
      </c>
      <c r="AI183">
        <v>0</v>
      </c>
      <c r="AJ183">
        <v>0</v>
      </c>
      <c r="AK183">
        <v>0</v>
      </c>
      <c r="AL183">
        <v>0</v>
      </c>
      <c r="AM183">
        <v>0</v>
      </c>
      <c r="AN183">
        <v>9.2499999999999993E-4</v>
      </c>
      <c r="AO183">
        <v>4.5100000000000001E-3</v>
      </c>
      <c r="AP183">
        <v>2.2000000000000002E-2</v>
      </c>
      <c r="AQ183">
        <v>6.4399999999999999E-2</v>
      </c>
      <c r="AR183">
        <v>0.14699999999999999</v>
      </c>
      <c r="AS183">
        <v>0.20465168365302899</v>
      </c>
      <c r="AT183">
        <v>0.24001530337574301</v>
      </c>
      <c r="AU183">
        <v>0.312956060108532</v>
      </c>
      <c r="AV183">
        <v>0.38281091701704401</v>
      </c>
      <c r="AW183">
        <v>0.44984365121597403</v>
      </c>
      <c r="AX183">
        <v>0.82655126590550998</v>
      </c>
      <c r="AY183">
        <v>1.14138916388191</v>
      </c>
      <c r="AZ183">
        <v>1.41</v>
      </c>
      <c r="BA183">
        <v>1.73</v>
      </c>
      <c r="BB183">
        <v>1.97</v>
      </c>
      <c r="BC183">
        <v>7.93</v>
      </c>
      <c r="BD183">
        <v>9</v>
      </c>
      <c r="BE183">
        <v>11.149299620000001</v>
      </c>
      <c r="BF183">
        <v>13.30000019</v>
      </c>
      <c r="BG183">
        <v>15.43999958</v>
      </c>
      <c r="BH183">
        <v>17.58160019</v>
      </c>
      <c r="BI183">
        <v>20.700000760000002</v>
      </c>
      <c r="BJ183">
        <v>24.3</v>
      </c>
      <c r="BK183">
        <v>28.600000380000001</v>
      </c>
      <c r="BL183">
        <v>33.336601260000002</v>
      </c>
      <c r="BM183">
        <v>36.965301510000003</v>
      </c>
      <c r="BN183">
        <v>40.989101410000004</v>
      </c>
      <c r="BO183">
        <v>45.450801849999998</v>
      </c>
      <c r="BP183">
        <v>45.806800840000001</v>
      </c>
      <c r="BQ183">
        <v>46.32189941</v>
      </c>
    </row>
    <row r="184" spans="1:69">
      <c r="A184" t="s">
        <v>433</v>
      </c>
      <c r="B184" t="s">
        <v>434</v>
      </c>
      <c r="C184" t="s">
        <v>75</v>
      </c>
      <c r="D184" t="s">
        <v>76</v>
      </c>
      <c r="AI184">
        <v>0</v>
      </c>
      <c r="AT184">
        <v>2.9871552325002502</v>
      </c>
      <c r="BD184">
        <v>54</v>
      </c>
      <c r="BJ184">
        <v>62.385101319999997</v>
      </c>
      <c r="BL184">
        <v>74.737899780000006</v>
      </c>
      <c r="BM184">
        <v>77.466598509999997</v>
      </c>
      <c r="BN184">
        <v>80.29499817</v>
      </c>
      <c r="BO184">
        <v>83.226600649999995</v>
      </c>
      <c r="BP184">
        <v>83.039703369999998</v>
      </c>
      <c r="BQ184">
        <v>83.011703490000002</v>
      </c>
    </row>
    <row r="185" spans="1:69">
      <c r="A185" t="s">
        <v>435</v>
      </c>
      <c r="B185" t="s">
        <v>436</v>
      </c>
      <c r="C185" t="s">
        <v>75</v>
      </c>
      <c r="D185" t="s">
        <v>76</v>
      </c>
      <c r="AI185">
        <v>0</v>
      </c>
      <c r="AK185">
        <v>0.28600000000000003</v>
      </c>
      <c r="AL185">
        <v>0.63100000000000001</v>
      </c>
      <c r="AM185">
        <v>3.17</v>
      </c>
      <c r="AN185">
        <v>4.88</v>
      </c>
      <c r="AO185">
        <v>8.0399999999999991</v>
      </c>
      <c r="AP185">
        <v>14.6</v>
      </c>
      <c r="AQ185">
        <v>31.6</v>
      </c>
      <c r="AR185">
        <v>41.5</v>
      </c>
      <c r="AS185">
        <v>47.379556543209603</v>
      </c>
      <c r="AT185">
        <v>53.241015294127898</v>
      </c>
      <c r="AU185">
        <v>59.080753281293099</v>
      </c>
      <c r="AV185">
        <v>60.9625398663824</v>
      </c>
      <c r="AW185">
        <v>61.847627810648099</v>
      </c>
      <c r="AX185">
        <v>62.720199579999999</v>
      </c>
      <c r="AY185">
        <v>69</v>
      </c>
      <c r="AZ185">
        <v>69.760002139999997</v>
      </c>
      <c r="BA185">
        <v>72.02999878</v>
      </c>
      <c r="BB185">
        <v>79.7</v>
      </c>
      <c r="BC185">
        <v>80.459999080000003</v>
      </c>
      <c r="BD185">
        <v>81.230003359999998</v>
      </c>
      <c r="BE185">
        <v>81.644470179501994</v>
      </c>
      <c r="BF185">
        <v>82.77999878</v>
      </c>
      <c r="BG185">
        <v>84</v>
      </c>
      <c r="BH185">
        <v>85.199996949999999</v>
      </c>
      <c r="BI185">
        <v>86.5</v>
      </c>
      <c r="BJ185">
        <v>87.699996949999999</v>
      </c>
      <c r="BK185">
        <v>89</v>
      </c>
      <c r="BL185">
        <v>89.863700870000002</v>
      </c>
      <c r="BM185">
        <v>90.920997619999994</v>
      </c>
      <c r="BN185">
        <v>91.99060059</v>
      </c>
      <c r="BO185">
        <v>93.072898859999995</v>
      </c>
      <c r="BP185">
        <v>93.326103209999999</v>
      </c>
      <c r="BQ185">
        <v>93.519302370000005</v>
      </c>
    </row>
    <row r="186" spans="1:69">
      <c r="A186" t="s">
        <v>437</v>
      </c>
      <c r="B186" t="s">
        <v>438</v>
      </c>
      <c r="C186" t="s">
        <v>75</v>
      </c>
      <c r="D186" t="s">
        <v>76</v>
      </c>
    </row>
    <row r="187" spans="1:69">
      <c r="A187" t="s">
        <v>439</v>
      </c>
      <c r="B187" t="s">
        <v>440</v>
      </c>
      <c r="C187" t="s">
        <v>75</v>
      </c>
      <c r="D187" t="s">
        <v>76</v>
      </c>
      <c r="AI187">
        <v>0</v>
      </c>
      <c r="AO187">
        <v>0</v>
      </c>
      <c r="AP187">
        <v>0.44</v>
      </c>
      <c r="AQ187">
        <v>0.8630000000000001</v>
      </c>
      <c r="AR187">
        <v>2.52</v>
      </c>
      <c r="AS187">
        <v>3.52042141651097</v>
      </c>
      <c r="AT187">
        <v>5.8938415214867099</v>
      </c>
      <c r="AU187">
        <v>6.8733960391854501</v>
      </c>
      <c r="AV187">
        <v>7.2557429453655597</v>
      </c>
      <c r="AW187">
        <v>6.75885217024525</v>
      </c>
      <c r="AX187">
        <v>6.6835999490000004</v>
      </c>
      <c r="AY187">
        <v>8.2996997829999994</v>
      </c>
      <c r="AZ187">
        <v>16.68</v>
      </c>
      <c r="BA187">
        <v>20</v>
      </c>
      <c r="BB187">
        <v>26.799999240000002</v>
      </c>
      <c r="BC187">
        <v>35.827800000000003</v>
      </c>
      <c r="BD187">
        <v>48</v>
      </c>
      <c r="BE187">
        <v>60</v>
      </c>
      <c r="BF187">
        <v>66.45</v>
      </c>
      <c r="BG187">
        <v>70.22000122</v>
      </c>
      <c r="BH187">
        <v>73.52999878</v>
      </c>
      <c r="BI187">
        <v>76.845390474145603</v>
      </c>
      <c r="BJ187">
        <v>80.185600280000003</v>
      </c>
      <c r="BK187">
        <v>85.5</v>
      </c>
      <c r="BL187">
        <v>90.25939941</v>
      </c>
      <c r="BM187">
        <v>95.232293209999995</v>
      </c>
      <c r="BN187">
        <v>95.238800049999995</v>
      </c>
      <c r="BO187">
        <v>95.245300290000003</v>
      </c>
      <c r="BP187">
        <v>95.251701350000005</v>
      </c>
      <c r="BQ187">
        <v>95.251746780000005</v>
      </c>
    </row>
    <row r="188" spans="1:69">
      <c r="A188" t="s">
        <v>441</v>
      </c>
      <c r="B188" t="s">
        <v>442</v>
      </c>
      <c r="C188" t="s">
        <v>75</v>
      </c>
      <c r="D188" t="s">
        <v>76</v>
      </c>
    </row>
    <row r="189" spans="1:69">
      <c r="A189" t="s">
        <v>443</v>
      </c>
      <c r="B189" t="s">
        <v>444</v>
      </c>
      <c r="C189" t="s">
        <v>75</v>
      </c>
      <c r="D189" t="s">
        <v>76</v>
      </c>
      <c r="AI189">
        <v>0</v>
      </c>
      <c r="AN189">
        <v>1.2300000000000001E-4</v>
      </c>
      <c r="AO189">
        <v>2.99E-3</v>
      </c>
      <c r="AP189">
        <v>2.75E-2</v>
      </c>
      <c r="AQ189">
        <v>4.3900000000000002E-2</v>
      </c>
      <c r="AR189">
        <v>5.5400000000000005E-2</v>
      </c>
      <c r="AT189">
        <v>1.3185507792562601</v>
      </c>
      <c r="AU189">
        <v>2.5774267368383099</v>
      </c>
      <c r="AV189">
        <v>5.04115812592502</v>
      </c>
      <c r="AW189">
        <v>6.1643209853415604</v>
      </c>
      <c r="AX189">
        <v>6.3323001860000003</v>
      </c>
      <c r="AY189">
        <v>6.5</v>
      </c>
      <c r="AZ189">
        <v>6.8000001909999996</v>
      </c>
      <c r="BA189">
        <v>7</v>
      </c>
      <c r="BB189">
        <v>7.5</v>
      </c>
      <c r="BC189">
        <v>8</v>
      </c>
      <c r="BD189">
        <v>8</v>
      </c>
      <c r="BE189">
        <v>8.1000003809999992</v>
      </c>
      <c r="BF189">
        <v>9</v>
      </c>
      <c r="BG189">
        <v>10</v>
      </c>
      <c r="BH189">
        <v>11</v>
      </c>
      <c r="BI189">
        <v>12.385446763380999</v>
      </c>
      <c r="BJ189">
        <v>13.77999973</v>
      </c>
      <c r="BK189">
        <v>15.34000015</v>
      </c>
      <c r="BL189">
        <v>17.070901719916002</v>
      </c>
      <c r="BM189">
        <v>18.934999999999999</v>
      </c>
      <c r="BQ189">
        <v>57.253</v>
      </c>
    </row>
    <row r="190" spans="1:69">
      <c r="A190" t="s">
        <v>445</v>
      </c>
      <c r="B190" t="s">
        <v>446</v>
      </c>
      <c r="C190" t="s">
        <v>75</v>
      </c>
      <c r="D190" t="s">
        <v>76</v>
      </c>
      <c r="AI190">
        <v>0</v>
      </c>
      <c r="AM190">
        <v>7.6400000000000001E-3</v>
      </c>
      <c r="AN190">
        <v>5.6099999999999997E-2</v>
      </c>
      <c r="AO190">
        <v>0.22</v>
      </c>
      <c r="AP190">
        <v>0.53900000000000003</v>
      </c>
      <c r="AQ190">
        <v>2.75</v>
      </c>
      <c r="AR190">
        <v>3.84</v>
      </c>
      <c r="AS190">
        <v>6.5547964772954899</v>
      </c>
      <c r="AT190">
        <v>7.2683998778872896</v>
      </c>
      <c r="AU190">
        <v>8.5180778151559498</v>
      </c>
      <c r="AV190">
        <v>9.9874240772340492</v>
      </c>
      <c r="AW190">
        <v>11.1408625409415</v>
      </c>
      <c r="AX190">
        <v>11.48400021</v>
      </c>
      <c r="AY190">
        <v>17.34959984</v>
      </c>
      <c r="AZ190">
        <v>22.29</v>
      </c>
      <c r="BA190">
        <v>33.82</v>
      </c>
      <c r="BB190">
        <v>39.08</v>
      </c>
      <c r="BC190">
        <v>40.1</v>
      </c>
      <c r="BD190">
        <v>42.7</v>
      </c>
      <c r="BE190">
        <v>40.301895221048802</v>
      </c>
      <c r="BF190">
        <v>44.03</v>
      </c>
      <c r="BG190">
        <v>44.9238152577893</v>
      </c>
      <c r="BH190">
        <v>51.2054249948687</v>
      </c>
      <c r="BI190">
        <v>54</v>
      </c>
      <c r="BJ190">
        <v>59.950630903868301</v>
      </c>
      <c r="BK190">
        <v>61.8055313202468</v>
      </c>
      <c r="BL190">
        <v>63.628414773145103</v>
      </c>
      <c r="BM190">
        <v>64.824302669999994</v>
      </c>
      <c r="BN190">
        <v>66.042701719999997</v>
      </c>
      <c r="BO190">
        <v>67.283897400000001</v>
      </c>
      <c r="BP190">
        <v>68.54851592</v>
      </c>
      <c r="BQ190">
        <v>72.771499629999994</v>
      </c>
    </row>
    <row r="191" spans="1:69">
      <c r="A191" t="s">
        <v>447</v>
      </c>
      <c r="B191" t="s">
        <v>448</v>
      </c>
      <c r="C191" t="s">
        <v>75</v>
      </c>
      <c r="D191" t="s">
        <v>76</v>
      </c>
      <c r="AI191">
        <v>0</v>
      </c>
      <c r="AM191">
        <v>8.5000000000000006E-3</v>
      </c>
      <c r="AN191">
        <v>3.3399999999999999E-2</v>
      </c>
      <c r="AO191">
        <v>0.246</v>
      </c>
      <c r="AP191">
        <v>0.40299999999999997</v>
      </c>
      <c r="AQ191">
        <v>1.19</v>
      </c>
      <c r="AR191">
        <v>1.95</v>
      </c>
      <c r="AS191">
        <v>3.0764306113767499</v>
      </c>
      <c r="AT191">
        <v>7.5787629571741899</v>
      </c>
      <c r="AU191">
        <v>8.9669491704002802</v>
      </c>
      <c r="AV191">
        <v>11.6</v>
      </c>
      <c r="AW191">
        <v>14.1</v>
      </c>
      <c r="AX191">
        <v>17.100000380000001</v>
      </c>
      <c r="AY191">
        <v>20.700000760000002</v>
      </c>
      <c r="AZ191">
        <v>25.200000760000002</v>
      </c>
      <c r="BA191">
        <v>30.57</v>
      </c>
      <c r="BB191">
        <v>31.4</v>
      </c>
      <c r="BC191">
        <v>34.770000000000003</v>
      </c>
      <c r="BD191">
        <v>36.01</v>
      </c>
      <c r="BE191">
        <v>38.200000000000003</v>
      </c>
      <c r="BF191">
        <v>39.200000000000003</v>
      </c>
      <c r="BG191">
        <v>40.244656009170399</v>
      </c>
      <c r="BH191">
        <v>40.852600909046799</v>
      </c>
      <c r="BI191">
        <v>45.461740686945902</v>
      </c>
      <c r="BJ191">
        <v>50.450412184814297</v>
      </c>
      <c r="BK191">
        <v>55.054334244319698</v>
      </c>
      <c r="BL191">
        <v>59.950503604900597</v>
      </c>
      <c r="BM191">
        <v>65.251797960000005</v>
      </c>
      <c r="BN191">
        <v>71.107826430000003</v>
      </c>
      <c r="BO191">
        <v>74.674952129999994</v>
      </c>
      <c r="BP191">
        <v>79.484844769999995</v>
      </c>
      <c r="BQ191">
        <v>81.957059920000006</v>
      </c>
    </row>
    <row r="192" spans="1:69">
      <c r="A192" t="s">
        <v>449</v>
      </c>
      <c r="B192" t="s">
        <v>450</v>
      </c>
      <c r="C192" t="s">
        <v>75</v>
      </c>
      <c r="D192" t="s">
        <v>76</v>
      </c>
      <c r="AI192">
        <v>0</v>
      </c>
      <c r="AM192">
        <v>5.8400000000000006E-3</v>
      </c>
      <c r="AN192">
        <v>2.86E-2</v>
      </c>
      <c r="AO192">
        <v>5.5900000000000005E-2</v>
      </c>
      <c r="AP192">
        <v>0.13699999999999998</v>
      </c>
      <c r="AQ192">
        <v>1.1000000000000001</v>
      </c>
      <c r="AR192">
        <v>1.43</v>
      </c>
      <c r="AS192">
        <v>1.9822531960582701</v>
      </c>
      <c r="AT192">
        <v>2.5240056600826901</v>
      </c>
      <c r="AU192">
        <v>4.3322757464300699</v>
      </c>
      <c r="AV192">
        <v>4.8576722670851202</v>
      </c>
      <c r="AW192">
        <v>5.2436284521710999</v>
      </c>
      <c r="AX192">
        <v>5.3976001739999999</v>
      </c>
      <c r="AY192">
        <v>5.74058632534702</v>
      </c>
      <c r="AZ192">
        <v>5.97</v>
      </c>
      <c r="BA192">
        <v>6.22</v>
      </c>
      <c r="BB192">
        <v>9</v>
      </c>
      <c r="BC192">
        <v>25</v>
      </c>
      <c r="BD192">
        <v>29</v>
      </c>
      <c r="BE192">
        <v>30.799999240000002</v>
      </c>
      <c r="BF192">
        <v>32.700000760000002</v>
      </c>
      <c r="BG192">
        <v>34.700000760000002</v>
      </c>
      <c r="BH192">
        <v>36.900001529999997</v>
      </c>
      <c r="BI192">
        <v>39.200000760000002</v>
      </c>
      <c r="BJ192">
        <v>41.599998470000003</v>
      </c>
      <c r="BK192">
        <v>44.099998470000003</v>
      </c>
      <c r="BL192">
        <v>43.026611868027899</v>
      </c>
      <c r="BM192">
        <v>53.76490021</v>
      </c>
      <c r="BN192">
        <v>66.907798769999999</v>
      </c>
      <c r="BO192">
        <v>75.211144219999994</v>
      </c>
      <c r="BP192">
        <v>77.86699677</v>
      </c>
      <c r="BQ192">
        <v>67.263009139999994</v>
      </c>
    </row>
    <row r="193" spans="1:69">
      <c r="A193" t="s">
        <v>451</v>
      </c>
      <c r="B193" t="s">
        <v>452</v>
      </c>
      <c r="C193" t="s">
        <v>75</v>
      </c>
      <c r="D193" t="s">
        <v>76</v>
      </c>
      <c r="AI193">
        <v>0</v>
      </c>
      <c r="AU193">
        <v>20.243939470621001</v>
      </c>
      <c r="AV193">
        <v>21.601527177735399</v>
      </c>
      <c r="AW193">
        <v>26.970332634102501</v>
      </c>
      <c r="BO193">
        <v>82.567497250000002</v>
      </c>
      <c r="BP193">
        <v>82.916297909999997</v>
      </c>
      <c r="BQ193">
        <v>83.925498959999999</v>
      </c>
    </row>
    <row r="194" spans="1:69">
      <c r="A194" t="s">
        <v>453</v>
      </c>
      <c r="B194" t="s">
        <v>454</v>
      </c>
      <c r="C194" t="s">
        <v>75</v>
      </c>
      <c r="D194" t="s">
        <v>76</v>
      </c>
      <c r="AI194">
        <v>0</v>
      </c>
      <c r="AO194">
        <v>2.0699999999999998E-3</v>
      </c>
      <c r="AP194">
        <v>0.10100000000000001</v>
      </c>
      <c r="AQ194">
        <v>0.23499999999999999</v>
      </c>
      <c r="AR194">
        <v>0.66699999999999993</v>
      </c>
      <c r="AS194">
        <v>0.83524930242762396</v>
      </c>
      <c r="AT194">
        <v>0.90410354517082103</v>
      </c>
      <c r="AU194">
        <v>1.3216569348661</v>
      </c>
      <c r="AV194">
        <v>1.37440466802801</v>
      </c>
      <c r="AW194">
        <v>1.5079127722725001</v>
      </c>
      <c r="AX194">
        <v>1.7161904755678199</v>
      </c>
      <c r="AY194">
        <v>1.754487260668</v>
      </c>
      <c r="AZ194">
        <v>1.7905999420000001</v>
      </c>
      <c r="BA194">
        <v>1.1499999999999999</v>
      </c>
      <c r="BB194">
        <v>1.61</v>
      </c>
      <c r="BC194">
        <v>1.28</v>
      </c>
      <c r="BD194">
        <v>2</v>
      </c>
      <c r="BE194">
        <v>3.5</v>
      </c>
      <c r="BF194">
        <v>5.0999999049999998</v>
      </c>
      <c r="BG194">
        <v>6.5</v>
      </c>
      <c r="BH194">
        <v>7.9000000950000002</v>
      </c>
      <c r="BI194">
        <v>9.6014995570000004</v>
      </c>
      <c r="BJ194">
        <v>11.209199910000001</v>
      </c>
      <c r="BK194">
        <v>12.35789967</v>
      </c>
      <c r="BL194">
        <v>13.62419987</v>
      </c>
      <c r="BM194">
        <v>15.020400049999999</v>
      </c>
      <c r="BN194">
        <v>16.559600830000001</v>
      </c>
      <c r="BO194">
        <v>18.256599430000001</v>
      </c>
      <c r="BP194">
        <v>18.561300280000001</v>
      </c>
      <c r="BQ194">
        <v>18.811599730000001</v>
      </c>
    </row>
    <row r="195" spans="1:69">
      <c r="A195" t="s">
        <v>455</v>
      </c>
      <c r="B195" t="s">
        <v>456</v>
      </c>
      <c r="C195" t="s">
        <v>75</v>
      </c>
      <c r="D195" t="s">
        <v>76</v>
      </c>
      <c r="AI195">
        <v>0</v>
      </c>
      <c r="AJ195">
        <v>5.2299999999999994E-3</v>
      </c>
      <c r="AK195">
        <v>5.21E-2</v>
      </c>
      <c r="AL195">
        <v>0.13</v>
      </c>
      <c r="AM195">
        <v>0.38899999999999996</v>
      </c>
      <c r="AN195">
        <v>0.64799999999999991</v>
      </c>
      <c r="AO195">
        <v>1.3</v>
      </c>
      <c r="AP195">
        <v>2.0699999999999998</v>
      </c>
      <c r="AQ195">
        <v>4.0999999999999996</v>
      </c>
      <c r="AR195">
        <v>5.46</v>
      </c>
      <c r="AS195">
        <v>7.2854287080600999</v>
      </c>
      <c r="AT195">
        <v>9.9006697073533996</v>
      </c>
      <c r="AU195">
        <v>21.15</v>
      </c>
      <c r="AV195">
        <v>24.87</v>
      </c>
      <c r="AW195">
        <v>32.53</v>
      </c>
      <c r="AX195">
        <v>38.81</v>
      </c>
      <c r="AY195">
        <v>44.58</v>
      </c>
      <c r="AZ195">
        <v>48.6</v>
      </c>
      <c r="BA195">
        <v>53.13</v>
      </c>
      <c r="BB195">
        <v>58.97</v>
      </c>
      <c r="BC195">
        <v>62.32</v>
      </c>
      <c r="BD195">
        <v>61.949998968979997</v>
      </c>
      <c r="BE195">
        <v>62.309997271469101</v>
      </c>
      <c r="BF195">
        <v>62.849200000000003</v>
      </c>
      <c r="BG195">
        <v>66.5987360557248</v>
      </c>
      <c r="BH195">
        <v>67.996987155641506</v>
      </c>
      <c r="BI195">
        <v>73.300704096266898</v>
      </c>
      <c r="BJ195">
        <v>75.985365949383194</v>
      </c>
      <c r="BK195">
        <v>77.5417345350006</v>
      </c>
      <c r="BL195">
        <v>80.435906876867307</v>
      </c>
      <c r="BM195">
        <v>83.184887149999994</v>
      </c>
      <c r="BN195">
        <v>85.374909059999993</v>
      </c>
      <c r="BO195">
        <v>86.941134790000007</v>
      </c>
      <c r="BP195">
        <v>86.414743999999999</v>
      </c>
      <c r="BQ195">
        <v>88.584963669999993</v>
      </c>
    </row>
    <row r="196" spans="1:69">
      <c r="A196" t="s">
        <v>457</v>
      </c>
      <c r="B196" t="s">
        <v>458</v>
      </c>
      <c r="C196" t="s">
        <v>75</v>
      </c>
      <c r="D196" t="s">
        <v>76</v>
      </c>
    </row>
    <row r="197" spans="1:69">
      <c r="A197" t="s">
        <v>459</v>
      </c>
      <c r="B197" t="s">
        <v>460</v>
      </c>
      <c r="C197" t="s">
        <v>75</v>
      </c>
      <c r="D197" t="s">
        <v>76</v>
      </c>
      <c r="AI197">
        <v>0</v>
      </c>
      <c r="AM197">
        <v>2.7300000000000001E-2</v>
      </c>
      <c r="AN197">
        <v>0.13500000000000001</v>
      </c>
      <c r="AO197">
        <v>0.26800000000000002</v>
      </c>
      <c r="AP197">
        <v>1.33</v>
      </c>
      <c r="AQ197">
        <v>2.65</v>
      </c>
      <c r="AR197">
        <v>5.27</v>
      </c>
      <c r="AS197">
        <v>10.4746482089399</v>
      </c>
      <c r="AT197">
        <v>15.6300309162012</v>
      </c>
      <c r="AU197">
        <v>17.5476475654777</v>
      </c>
      <c r="AV197">
        <v>19.707025657825199</v>
      </c>
      <c r="AW197">
        <v>22.130738234701401</v>
      </c>
      <c r="AX197">
        <v>23.400050448658298</v>
      </c>
      <c r="AY197">
        <v>25.4424182102582</v>
      </c>
      <c r="AZ197">
        <v>27.86</v>
      </c>
      <c r="BA197">
        <v>38</v>
      </c>
      <c r="BB197">
        <v>41.5</v>
      </c>
      <c r="BC197">
        <v>45.3</v>
      </c>
      <c r="BD197">
        <v>48</v>
      </c>
      <c r="BE197">
        <v>68.999982601415098</v>
      </c>
      <c r="BF197">
        <v>68.999990003999997</v>
      </c>
      <c r="BG197">
        <v>76.133859720166697</v>
      </c>
      <c r="BH197">
        <v>63.466335384847397</v>
      </c>
      <c r="BI197">
        <v>68.643807197651796</v>
      </c>
      <c r="BJ197">
        <v>68.740773140720904</v>
      </c>
      <c r="BK197">
        <v>70.856399742436196</v>
      </c>
      <c r="BL197">
        <v>77.7364393708352</v>
      </c>
      <c r="BN197">
        <v>84.786663989999994</v>
      </c>
      <c r="BO197">
        <v>87.291781060000005</v>
      </c>
    </row>
    <row r="198" spans="1:69">
      <c r="A198" t="s">
        <v>461</v>
      </c>
      <c r="B198" t="s">
        <v>462</v>
      </c>
      <c r="C198" t="s">
        <v>75</v>
      </c>
      <c r="D198" t="s">
        <v>76</v>
      </c>
      <c r="AI198">
        <v>0</v>
      </c>
      <c r="AP198">
        <v>0</v>
      </c>
      <c r="AQ198">
        <v>0</v>
      </c>
      <c r="AR198">
        <v>0</v>
      </c>
      <c r="AS198">
        <v>0</v>
      </c>
      <c r="AT198">
        <v>0</v>
      </c>
      <c r="AU198">
        <v>0</v>
      </c>
      <c r="AV198">
        <v>0</v>
      </c>
      <c r="AW198">
        <v>0</v>
      </c>
    </row>
    <row r="199" spans="1:69">
      <c r="A199" t="s">
        <v>463</v>
      </c>
      <c r="B199" t="s">
        <v>464</v>
      </c>
      <c r="C199" t="s">
        <v>75</v>
      </c>
      <c r="D199" t="s">
        <v>76</v>
      </c>
      <c r="AI199">
        <v>0</v>
      </c>
      <c r="AJ199">
        <v>0.1</v>
      </c>
      <c r="AK199">
        <v>0.25</v>
      </c>
      <c r="AL199">
        <v>0.45</v>
      </c>
      <c r="AM199">
        <v>0.71899999999999997</v>
      </c>
      <c r="AN199">
        <v>1.49</v>
      </c>
      <c r="AO199">
        <v>2.98</v>
      </c>
      <c r="AP199">
        <v>4.95</v>
      </c>
      <c r="AQ199">
        <v>9.8699999999999992</v>
      </c>
      <c r="AR199">
        <v>14.7</v>
      </c>
      <c r="AS199">
        <v>16.4304676923534</v>
      </c>
      <c r="AT199">
        <v>18.0871365595338</v>
      </c>
      <c r="AU199">
        <v>19.37</v>
      </c>
      <c r="AV199">
        <v>29.67</v>
      </c>
      <c r="AW199">
        <v>31.78</v>
      </c>
      <c r="AX199">
        <v>34.99</v>
      </c>
      <c r="AY199">
        <v>38.01</v>
      </c>
      <c r="AZ199">
        <v>42.09</v>
      </c>
      <c r="BA199">
        <v>44.13</v>
      </c>
      <c r="BB199">
        <v>48.27</v>
      </c>
      <c r="BC199">
        <v>53.3</v>
      </c>
      <c r="BD199">
        <v>55.249996879719397</v>
      </c>
      <c r="BE199">
        <v>60.3399974868057</v>
      </c>
      <c r="BF199">
        <v>62.095599999999997</v>
      </c>
      <c r="BG199">
        <v>64.592420064894895</v>
      </c>
      <c r="BH199">
        <v>68.632861480429895</v>
      </c>
      <c r="BI199">
        <v>70.423567088723004</v>
      </c>
      <c r="BJ199">
        <v>73.7912139515729</v>
      </c>
      <c r="BK199">
        <v>74.660968148750698</v>
      </c>
      <c r="BL199">
        <v>75.346377940871207</v>
      </c>
      <c r="BM199">
        <v>78.26166044</v>
      </c>
      <c r="BN199">
        <v>82.309028040000001</v>
      </c>
      <c r="BO199">
        <v>84.496906440000004</v>
      </c>
      <c r="BP199">
        <v>85.790126760000007</v>
      </c>
      <c r="BQ199">
        <v>88.487044539999999</v>
      </c>
    </row>
    <row r="200" spans="1:69">
      <c r="A200" t="s">
        <v>465</v>
      </c>
      <c r="B200" t="s">
        <v>466</v>
      </c>
      <c r="C200" t="s">
        <v>75</v>
      </c>
      <c r="D200" t="s">
        <v>76</v>
      </c>
      <c r="AI200">
        <v>0</v>
      </c>
      <c r="AO200">
        <v>2.0400000000000001E-2</v>
      </c>
      <c r="AP200">
        <v>9.9599999999999994E-2</v>
      </c>
      <c r="AQ200">
        <v>0.19500000000000001</v>
      </c>
      <c r="AR200">
        <v>0.38200000000000001</v>
      </c>
      <c r="AS200">
        <v>0.74763071154818395</v>
      </c>
      <c r="AT200">
        <v>1.09879383569333</v>
      </c>
      <c r="AU200">
        <v>1.79496959770244</v>
      </c>
      <c r="AV200">
        <v>2.1119420821003398</v>
      </c>
      <c r="AW200">
        <v>3.4524384313707901</v>
      </c>
      <c r="AX200">
        <v>7.9070078614128496</v>
      </c>
      <c r="AY200">
        <v>7.9621000290000001</v>
      </c>
      <c r="AZ200">
        <v>11.21</v>
      </c>
      <c r="BA200">
        <v>14.27</v>
      </c>
      <c r="BB200">
        <v>18.899999999999999</v>
      </c>
      <c r="BC200">
        <v>19.8</v>
      </c>
      <c r="BD200">
        <v>24.7635158793993</v>
      </c>
      <c r="BE200">
        <v>29.34</v>
      </c>
      <c r="BF200">
        <v>36.9</v>
      </c>
      <c r="BG200">
        <v>43.007375012261399</v>
      </c>
      <c r="BH200">
        <v>49.716304663966</v>
      </c>
      <c r="BI200">
        <v>53.4041274791009</v>
      </c>
      <c r="BJ200">
        <v>61.075756221579702</v>
      </c>
      <c r="BK200">
        <v>64.993543023575597</v>
      </c>
      <c r="BL200">
        <v>68.517628422226394</v>
      </c>
      <c r="BM200">
        <v>73.957511139999994</v>
      </c>
      <c r="BN200">
        <v>77.018386210000003</v>
      </c>
      <c r="BO200">
        <v>76.259166109999995</v>
      </c>
      <c r="BP200">
        <v>78.094818779999997</v>
      </c>
      <c r="BQ200">
        <v>81.578067930000003</v>
      </c>
    </row>
    <row r="201" spans="1:69">
      <c r="A201" t="s">
        <v>467</v>
      </c>
      <c r="B201" t="s">
        <v>468</v>
      </c>
      <c r="C201" t="s">
        <v>75</v>
      </c>
      <c r="D201" t="s">
        <v>76</v>
      </c>
      <c r="AI201">
        <v>0</v>
      </c>
      <c r="AS201">
        <v>1.11130620708969</v>
      </c>
      <c r="AT201">
        <v>1.83685483917877</v>
      </c>
      <c r="AU201">
        <v>3.1000922351251701</v>
      </c>
      <c r="AV201">
        <v>4.13061635632919</v>
      </c>
      <c r="AW201">
        <v>4.4009048260322299</v>
      </c>
      <c r="AX201">
        <v>16.004999160000001</v>
      </c>
      <c r="AY201">
        <v>18.41</v>
      </c>
      <c r="AZ201">
        <v>21.176000599999998</v>
      </c>
      <c r="BA201">
        <v>24.357999800000002</v>
      </c>
      <c r="BB201">
        <v>32.229999999999997</v>
      </c>
      <c r="BC201">
        <v>37.400001529999997</v>
      </c>
      <c r="BD201">
        <v>41.08000183</v>
      </c>
      <c r="BE201">
        <v>43.4</v>
      </c>
      <c r="BF201">
        <v>46.599998470000003</v>
      </c>
      <c r="BG201">
        <v>53.665199792417098</v>
      </c>
      <c r="BH201">
        <v>56.700000760000002</v>
      </c>
      <c r="BI201">
        <v>59.900001529999997</v>
      </c>
      <c r="BJ201">
        <v>63.299999239999998</v>
      </c>
      <c r="BK201">
        <v>64.399993711449895</v>
      </c>
      <c r="BL201">
        <v>70.622583700175795</v>
      </c>
      <c r="BM201">
        <v>76.181602479999995</v>
      </c>
      <c r="BO201">
        <v>88.646905540000006</v>
      </c>
      <c r="BP201">
        <v>86.63765334</v>
      </c>
    </row>
    <row r="202" spans="1:69">
      <c r="A202" t="s">
        <v>469</v>
      </c>
      <c r="B202" t="s">
        <v>470</v>
      </c>
      <c r="C202" t="s">
        <v>75</v>
      </c>
      <c r="D202" t="s">
        <v>76</v>
      </c>
    </row>
    <row r="203" spans="1:69">
      <c r="A203" t="s">
        <v>471</v>
      </c>
      <c r="B203" t="s">
        <v>472</v>
      </c>
      <c r="C203" t="s">
        <v>75</v>
      </c>
      <c r="D203" t="s">
        <v>76</v>
      </c>
    </row>
    <row r="204" spans="1:69">
      <c r="A204" t="s">
        <v>473</v>
      </c>
      <c r="B204" t="s">
        <v>474</v>
      </c>
      <c r="C204" t="s">
        <v>75</v>
      </c>
      <c r="D204" t="s">
        <v>76</v>
      </c>
      <c r="AI204">
        <v>0</v>
      </c>
      <c r="AO204">
        <v>9.0999999999999998E-2</v>
      </c>
      <c r="AP204">
        <v>0.214</v>
      </c>
      <c r="AQ204">
        <v>1.32</v>
      </c>
      <c r="AR204">
        <v>3.45</v>
      </c>
      <c r="AS204">
        <v>6.3570635452072004</v>
      </c>
      <c r="AT204">
        <v>6.2515889455236504</v>
      </c>
      <c r="AU204">
        <v>8.2002164857152202</v>
      </c>
      <c r="AV204">
        <v>14.1242937853107</v>
      </c>
      <c r="AW204">
        <v>17.884537426375299</v>
      </c>
      <c r="AX204">
        <v>21.542185474300201</v>
      </c>
      <c r="AY204">
        <v>25.107964246258899</v>
      </c>
      <c r="AZ204">
        <v>28.59</v>
      </c>
      <c r="BA204">
        <v>33.869999999999997</v>
      </c>
      <c r="BB204">
        <v>44.6</v>
      </c>
      <c r="BC204">
        <v>49</v>
      </c>
      <c r="BD204">
        <v>49</v>
      </c>
      <c r="BE204">
        <v>52.876630586799301</v>
      </c>
      <c r="BF204">
        <v>56.8</v>
      </c>
      <c r="BG204">
        <v>60.68</v>
      </c>
      <c r="BH204">
        <v>64.560209747211999</v>
      </c>
      <c r="BI204">
        <v>68.440419493378002</v>
      </c>
      <c r="BJ204">
        <v>72.703895313294197</v>
      </c>
    </row>
    <row r="205" spans="1:69">
      <c r="A205" t="s">
        <v>475</v>
      </c>
      <c r="B205" t="s">
        <v>476</v>
      </c>
      <c r="C205" t="s">
        <v>75</v>
      </c>
      <c r="D205" t="s">
        <v>76</v>
      </c>
      <c r="AI205">
        <v>0</v>
      </c>
      <c r="AN205">
        <v>0.19</v>
      </c>
      <c r="AO205">
        <v>0.93</v>
      </c>
      <c r="AP205">
        <v>3.08</v>
      </c>
      <c r="AQ205">
        <v>3.52</v>
      </c>
      <c r="AR205">
        <v>4.07</v>
      </c>
      <c r="AS205">
        <v>4.8636791787515596</v>
      </c>
      <c r="AT205">
        <v>6.1702685609391104</v>
      </c>
      <c r="AU205">
        <v>10.2261289281118</v>
      </c>
      <c r="AV205">
        <v>19.242336421002001</v>
      </c>
      <c r="AW205">
        <v>20.701647851169</v>
      </c>
      <c r="AX205">
        <v>24.73349953</v>
      </c>
      <c r="AY205">
        <v>28.974100109999998</v>
      </c>
      <c r="AZ205">
        <v>37</v>
      </c>
      <c r="BA205">
        <v>44.299999239999998</v>
      </c>
      <c r="BB205">
        <v>53.099998470000003</v>
      </c>
      <c r="BC205">
        <v>69</v>
      </c>
      <c r="BD205">
        <v>69</v>
      </c>
      <c r="BE205">
        <v>69.3</v>
      </c>
      <c r="BF205">
        <v>85.3</v>
      </c>
      <c r="BG205">
        <v>91.489997860000003</v>
      </c>
      <c r="BH205">
        <v>92.884826453548101</v>
      </c>
      <c r="BI205">
        <v>95.124662166114803</v>
      </c>
      <c r="BJ205">
        <v>97.388849165416403</v>
      </c>
      <c r="BK205">
        <v>99.652849126117502</v>
      </c>
      <c r="BL205">
        <v>99.652804208638898</v>
      </c>
      <c r="BM205">
        <v>99.652849130000007</v>
      </c>
      <c r="BN205">
        <v>99.652801510000003</v>
      </c>
      <c r="BO205">
        <v>98.03800201</v>
      </c>
      <c r="BP205">
        <v>98.152297970000006</v>
      </c>
      <c r="BQ205">
        <v>98.085403439999993</v>
      </c>
    </row>
    <row r="206" spans="1:69">
      <c r="A206" t="s">
        <v>477</v>
      </c>
      <c r="B206" t="s">
        <v>478</v>
      </c>
      <c r="C206" t="s">
        <v>75</v>
      </c>
      <c r="D206" t="s">
        <v>76</v>
      </c>
      <c r="AI206">
        <v>0</v>
      </c>
      <c r="AL206">
        <v>3.6999999999999997E-3</v>
      </c>
      <c r="AM206">
        <v>2.63E-2</v>
      </c>
      <c r="AN206">
        <v>7.4999999999999997E-2</v>
      </c>
      <c r="AO206">
        <v>0.22200000000000003</v>
      </c>
      <c r="AP206">
        <v>0.44500000000000001</v>
      </c>
      <c r="AQ206">
        <v>2.2400000000000002</v>
      </c>
      <c r="AR206">
        <v>2.7</v>
      </c>
      <c r="AS206">
        <v>3.6137172913978302</v>
      </c>
      <c r="AT206">
        <v>4.5386690289531204</v>
      </c>
      <c r="AU206">
        <v>6.58</v>
      </c>
      <c r="AV206">
        <v>8.9</v>
      </c>
      <c r="AW206">
        <v>15</v>
      </c>
      <c r="AX206">
        <v>21.5</v>
      </c>
      <c r="AY206">
        <v>24.66</v>
      </c>
      <c r="AZ206">
        <v>28.3</v>
      </c>
      <c r="BA206">
        <v>32.42</v>
      </c>
      <c r="BB206">
        <v>36.6</v>
      </c>
      <c r="BC206">
        <v>39.93</v>
      </c>
      <c r="BD206">
        <v>40.009996781000801</v>
      </c>
      <c r="BE206">
        <v>45.879994252942403</v>
      </c>
      <c r="BF206">
        <v>49.764499999999998</v>
      </c>
      <c r="BG206">
        <v>54.078320655094302</v>
      </c>
      <c r="BH206">
        <v>55.763155633623299</v>
      </c>
      <c r="BI206">
        <v>59.503951285271299</v>
      </c>
      <c r="BJ206">
        <v>63.747282182248398</v>
      </c>
      <c r="BK206">
        <v>70.681277927326803</v>
      </c>
      <c r="BL206">
        <v>73.657475754546496</v>
      </c>
      <c r="BM206">
        <v>78.455268950000004</v>
      </c>
      <c r="BN206">
        <v>83.590426500000007</v>
      </c>
      <c r="BO206">
        <v>85.503091240000003</v>
      </c>
      <c r="BP206">
        <v>89.20335498</v>
      </c>
      <c r="BQ206">
        <v>91.290485509999996</v>
      </c>
    </row>
    <row r="207" spans="1:69">
      <c r="A207" t="s">
        <v>479</v>
      </c>
      <c r="B207" t="s">
        <v>480</v>
      </c>
      <c r="C207" t="s">
        <v>75</v>
      </c>
      <c r="D207" t="s">
        <v>76</v>
      </c>
      <c r="AI207">
        <v>0</v>
      </c>
      <c r="AK207">
        <v>6.7299999999999999E-4</v>
      </c>
      <c r="AL207">
        <v>1.34E-2</v>
      </c>
      <c r="AM207">
        <v>5.3799999999999994E-2</v>
      </c>
      <c r="AN207">
        <v>0.14799999999999999</v>
      </c>
      <c r="AO207">
        <v>0.27</v>
      </c>
      <c r="AP207">
        <v>0.47299999999999998</v>
      </c>
      <c r="AQ207">
        <v>0.81300000000000006</v>
      </c>
      <c r="AR207">
        <v>1.02</v>
      </c>
      <c r="AS207">
        <v>1.9772301089764699</v>
      </c>
      <c r="AT207">
        <v>2.9443677866498499</v>
      </c>
      <c r="AU207">
        <v>4.1282718179664402</v>
      </c>
      <c r="AV207">
        <v>8.2988606155390805</v>
      </c>
      <c r="AW207">
        <v>12.8593889008473</v>
      </c>
      <c r="AX207">
        <v>15.226699829999999</v>
      </c>
      <c r="AY207">
        <v>18.023300169999999</v>
      </c>
      <c r="AZ207">
        <v>24.66</v>
      </c>
      <c r="BA207">
        <v>32</v>
      </c>
      <c r="BB207">
        <v>42.55</v>
      </c>
      <c r="BC207">
        <v>49</v>
      </c>
      <c r="BD207">
        <v>58</v>
      </c>
      <c r="BE207">
        <v>66</v>
      </c>
      <c r="BF207">
        <v>67.97</v>
      </c>
      <c r="BG207">
        <v>70.517568257441297</v>
      </c>
      <c r="BH207">
        <v>70.099241226394696</v>
      </c>
      <c r="BI207">
        <v>73.091434617896994</v>
      </c>
      <c r="BJ207">
        <v>76.008138533910497</v>
      </c>
      <c r="BK207">
        <v>80.864721872695398</v>
      </c>
      <c r="BL207">
        <v>82.642161867066804</v>
      </c>
      <c r="BM207">
        <v>84.994669779999995</v>
      </c>
      <c r="BN207">
        <v>88.21384578</v>
      </c>
      <c r="BO207">
        <v>90.417991630000003</v>
      </c>
      <c r="BP207">
        <v>92.244963459999994</v>
      </c>
      <c r="BQ207">
        <v>94.364953679999999</v>
      </c>
    </row>
    <row r="208" spans="1:69">
      <c r="A208" t="s">
        <v>481</v>
      </c>
      <c r="B208" t="s">
        <v>482</v>
      </c>
      <c r="C208" t="s">
        <v>75</v>
      </c>
      <c r="D208" t="s">
        <v>76</v>
      </c>
      <c r="AI208">
        <v>0</v>
      </c>
      <c r="AO208">
        <v>8.83E-4</v>
      </c>
      <c r="AP208">
        <v>1.6299999999999999E-3</v>
      </c>
      <c r="AQ208">
        <v>1.18E-2</v>
      </c>
      <c r="AR208">
        <v>6.7199999999999996E-2</v>
      </c>
      <c r="AS208">
        <v>6.2831459510716406E-2</v>
      </c>
      <c r="AT208">
        <v>0.240672409832383</v>
      </c>
      <c r="AU208">
        <v>0.292784718792575</v>
      </c>
      <c r="AV208">
        <v>0.35691846727236098</v>
      </c>
      <c r="AW208">
        <v>0.43085424337006001</v>
      </c>
      <c r="AX208">
        <v>0.555999994</v>
      </c>
      <c r="AZ208">
        <v>2.1154000759999998</v>
      </c>
      <c r="BA208">
        <v>4.5</v>
      </c>
      <c r="BB208">
        <v>7.7</v>
      </c>
      <c r="BC208">
        <v>8</v>
      </c>
      <c r="BD208">
        <v>7</v>
      </c>
      <c r="BE208">
        <v>8.0239000320000002</v>
      </c>
      <c r="BF208">
        <v>9</v>
      </c>
      <c r="BG208">
        <v>10.600000380000001</v>
      </c>
      <c r="BH208">
        <v>12.45600033</v>
      </c>
      <c r="BI208">
        <v>14.637100220000001</v>
      </c>
      <c r="BJ208">
        <v>17.2</v>
      </c>
      <c r="BK208">
        <v>19.166599269999999</v>
      </c>
      <c r="BL208">
        <v>21.357999800000002</v>
      </c>
      <c r="BM208">
        <v>23.8</v>
      </c>
      <c r="BN208">
        <v>24.4416008</v>
      </c>
      <c r="BO208">
        <v>28.016799930000001</v>
      </c>
      <c r="BP208">
        <v>28.805799480000001</v>
      </c>
      <c r="BQ208">
        <v>31.703300479999999</v>
      </c>
    </row>
    <row r="209" spans="1:70">
      <c r="A209" t="s">
        <v>483</v>
      </c>
      <c r="B209" t="s">
        <v>484</v>
      </c>
      <c r="C209" t="s">
        <v>75</v>
      </c>
      <c r="D209" t="s">
        <v>76</v>
      </c>
      <c r="AX209">
        <v>2.1</v>
      </c>
      <c r="AY209">
        <v>2.6</v>
      </c>
      <c r="AZ209">
        <v>3.7</v>
      </c>
      <c r="BA209">
        <v>4.0999999999999996</v>
      </c>
      <c r="BB209">
        <v>4.9000000000000004</v>
      </c>
      <c r="BC209">
        <v>7.1</v>
      </c>
      <c r="BD209">
        <v>9.4</v>
      </c>
      <c r="BE209">
        <v>10.4</v>
      </c>
      <c r="BF209">
        <v>11.7</v>
      </c>
      <c r="BG209">
        <v>13</v>
      </c>
      <c r="BH209">
        <v>14.7</v>
      </c>
      <c r="BI209">
        <v>16.7</v>
      </c>
      <c r="BJ209">
        <v>18.8</v>
      </c>
      <c r="BK209">
        <v>20.9</v>
      </c>
      <c r="BL209">
        <v>29.7</v>
      </c>
      <c r="BM209">
        <v>42.5</v>
      </c>
      <c r="BN209">
        <v>48</v>
      </c>
      <c r="BO209">
        <v>54.2</v>
      </c>
      <c r="BP209">
        <v>58.3</v>
      </c>
      <c r="BQ209">
        <v>62.8</v>
      </c>
      <c r="BR209">
        <v>67.8</v>
      </c>
    </row>
    <row r="210" spans="1:70">
      <c r="A210" t="s">
        <v>485</v>
      </c>
      <c r="B210" t="s">
        <v>486</v>
      </c>
      <c r="C210" t="s">
        <v>75</v>
      </c>
      <c r="D210" t="s">
        <v>76</v>
      </c>
      <c r="AI210">
        <v>0</v>
      </c>
      <c r="AN210">
        <v>1.1000000000000001E-2</v>
      </c>
      <c r="AO210">
        <v>2.6699999999999998E-2</v>
      </c>
      <c r="AP210">
        <v>5.21E-2</v>
      </c>
      <c r="AQ210">
        <v>0.10100000000000001</v>
      </c>
      <c r="AR210">
        <v>0.49399999999999999</v>
      </c>
      <c r="AS210">
        <v>2.2106918090888801</v>
      </c>
      <c r="AT210">
        <v>4.6810531658103001</v>
      </c>
      <c r="AU210">
        <v>6.3847050195593198</v>
      </c>
      <c r="AV210">
        <v>8.0015828909087805</v>
      </c>
      <c r="AW210">
        <v>10.234532996958301</v>
      </c>
      <c r="AX210">
        <v>12.7050359882849</v>
      </c>
      <c r="AY210">
        <v>19.459554351363401</v>
      </c>
      <c r="AZ210">
        <v>30</v>
      </c>
      <c r="BA210">
        <v>36</v>
      </c>
      <c r="BB210">
        <v>38</v>
      </c>
      <c r="BC210">
        <v>41</v>
      </c>
      <c r="BD210">
        <v>47.5</v>
      </c>
      <c r="BE210">
        <v>54</v>
      </c>
      <c r="BF210">
        <v>60.5</v>
      </c>
      <c r="BG210">
        <v>64.713657369019003</v>
      </c>
      <c r="BH210">
        <v>69.616235801400407</v>
      </c>
      <c r="BI210">
        <v>74.8792746891625</v>
      </c>
      <c r="BJ210">
        <v>94.175599611391107</v>
      </c>
      <c r="BK210">
        <v>93.310001848034702</v>
      </c>
      <c r="BL210">
        <v>95.724735595381205</v>
      </c>
      <c r="BM210">
        <v>97.862332499999994</v>
      </c>
      <c r="BN210">
        <v>100</v>
      </c>
      <c r="BO210">
        <v>100</v>
      </c>
      <c r="BP210">
        <v>100</v>
      </c>
      <c r="BQ210">
        <v>100</v>
      </c>
    </row>
    <row r="211" spans="1:70">
      <c r="A211" t="s">
        <v>487</v>
      </c>
      <c r="B211" t="s">
        <v>488</v>
      </c>
      <c r="C211" t="s">
        <v>75</v>
      </c>
      <c r="D211" t="s">
        <v>76</v>
      </c>
      <c r="AI211">
        <v>0</v>
      </c>
      <c r="AM211">
        <v>0</v>
      </c>
      <c r="AN211">
        <v>0</v>
      </c>
      <c r="AO211">
        <v>0</v>
      </c>
      <c r="AP211">
        <v>1.2300000000000002E-3</v>
      </c>
      <c r="AQ211">
        <v>4.81E-3</v>
      </c>
      <c r="AR211">
        <v>8.7899999999999992E-3</v>
      </c>
      <c r="AS211">
        <v>2.5785032476248401E-2</v>
      </c>
      <c r="AT211">
        <v>0.14018522449416099</v>
      </c>
      <c r="AU211">
        <v>0.43947763907558302</v>
      </c>
      <c r="AV211">
        <v>0.538471703150458</v>
      </c>
      <c r="AW211">
        <v>0.79156161544638504</v>
      </c>
      <c r="AZ211">
        <v>8.66</v>
      </c>
      <c r="BH211">
        <v>12</v>
      </c>
      <c r="BI211">
        <v>14.099999944653399</v>
      </c>
      <c r="BJ211">
        <v>18.600000380000001</v>
      </c>
    </row>
    <row r="212" spans="1:70">
      <c r="A212" t="s">
        <v>489</v>
      </c>
      <c r="B212" t="s">
        <v>490</v>
      </c>
      <c r="C212" t="s">
        <v>75</v>
      </c>
      <c r="D212" t="s">
        <v>76</v>
      </c>
      <c r="AI212">
        <v>0</v>
      </c>
      <c r="AN212">
        <v>6.9299999999999993E-4</v>
      </c>
      <c r="AO212">
        <v>1.12E-2</v>
      </c>
      <c r="AP212">
        <v>2.7300000000000001E-2</v>
      </c>
      <c r="AQ212">
        <v>7.9899999999999999E-2</v>
      </c>
      <c r="AR212">
        <v>0.311</v>
      </c>
      <c r="AS212">
        <v>0.40396748586896503</v>
      </c>
      <c r="AT212">
        <v>0.98379405884800297</v>
      </c>
      <c r="AU212">
        <v>1.00645453672323</v>
      </c>
      <c r="AV212">
        <v>2.1014364298668502</v>
      </c>
      <c r="AW212">
        <v>4.3860239800856302</v>
      </c>
      <c r="AX212">
        <v>4.7866840831053503</v>
      </c>
      <c r="AY212">
        <v>5.6117386521795201</v>
      </c>
      <c r="AZ212">
        <v>6.8899998660000001</v>
      </c>
      <c r="BA212">
        <v>7.1199998860000004</v>
      </c>
      <c r="BB212">
        <v>7.5</v>
      </c>
      <c r="BC212">
        <v>8</v>
      </c>
      <c r="BD212">
        <v>9.8000001910000005</v>
      </c>
      <c r="BE212">
        <v>10.80000019</v>
      </c>
      <c r="BF212">
        <v>13.100000380000001</v>
      </c>
      <c r="BG212">
        <v>17.700000760000002</v>
      </c>
      <c r="BH212">
        <v>21.700000760000002</v>
      </c>
      <c r="BI212">
        <v>25.664800639999999</v>
      </c>
      <c r="BJ212">
        <v>29.643100740000001</v>
      </c>
      <c r="BK212">
        <v>35.299999239999998</v>
      </c>
      <c r="BL212">
        <v>43.379699709999997</v>
      </c>
      <c r="BM212">
        <v>53.308799739999998</v>
      </c>
      <c r="BN212">
        <v>55.040401459999998</v>
      </c>
      <c r="BO212">
        <v>56.828300480000003</v>
      </c>
      <c r="BP212">
        <v>59.187400820000001</v>
      </c>
      <c r="BQ212">
        <v>60.117801669999999</v>
      </c>
    </row>
    <row r="213" spans="1:70">
      <c r="A213" t="s">
        <v>491</v>
      </c>
      <c r="B213" t="s">
        <v>492</v>
      </c>
      <c r="C213" t="s">
        <v>75</v>
      </c>
      <c r="D213" t="s">
        <v>76</v>
      </c>
      <c r="AI213">
        <v>0</v>
      </c>
      <c r="AJ213">
        <v>0.16199999999999998</v>
      </c>
      <c r="AK213">
        <v>0.47099999999999997</v>
      </c>
      <c r="AL213">
        <v>0.76300000000000001</v>
      </c>
      <c r="AM213">
        <v>1.19</v>
      </c>
      <c r="AN213">
        <v>2.87</v>
      </c>
      <c r="AO213">
        <v>8.35</v>
      </c>
      <c r="AP213">
        <v>13.5</v>
      </c>
      <c r="AQ213">
        <v>19.600000000000001</v>
      </c>
      <c r="AR213">
        <v>24.2</v>
      </c>
      <c r="AS213">
        <v>36</v>
      </c>
      <c r="AT213">
        <v>41.670425175604102</v>
      </c>
      <c r="AU213">
        <v>47</v>
      </c>
      <c r="AV213">
        <v>53.837943288191099</v>
      </c>
      <c r="AW213">
        <v>62</v>
      </c>
      <c r="AX213">
        <v>61</v>
      </c>
      <c r="AY213">
        <v>59</v>
      </c>
      <c r="AZ213">
        <v>69.900000000000006</v>
      </c>
      <c r="BA213">
        <v>69</v>
      </c>
      <c r="BB213">
        <v>69</v>
      </c>
      <c r="BC213">
        <v>71</v>
      </c>
      <c r="BD213">
        <v>71</v>
      </c>
      <c r="BE213">
        <v>72</v>
      </c>
      <c r="BF213">
        <v>80.902099609999993</v>
      </c>
      <c r="BG213">
        <v>79.029235863343501</v>
      </c>
      <c r="BH213">
        <v>79.012957002558394</v>
      </c>
      <c r="BI213">
        <v>84.452267889307393</v>
      </c>
      <c r="BJ213">
        <v>84.452267889307393</v>
      </c>
      <c r="BK213">
        <v>88.165636031344704</v>
      </c>
      <c r="BL213">
        <v>88.949252685076203</v>
      </c>
      <c r="BM213">
        <v>92.004346530000007</v>
      </c>
      <c r="BN213">
        <v>96.924681559999996</v>
      </c>
      <c r="BO213">
        <v>95.953864760000002</v>
      </c>
      <c r="BP213">
        <v>94.285189869999996</v>
      </c>
      <c r="BQ213">
        <v>94.377571779999997</v>
      </c>
    </row>
    <row r="214" spans="1:70">
      <c r="A214" t="s">
        <v>493</v>
      </c>
      <c r="B214" t="s">
        <v>494</v>
      </c>
      <c r="C214" t="s">
        <v>75</v>
      </c>
      <c r="D214" t="s">
        <v>76</v>
      </c>
      <c r="AI214">
        <v>0</v>
      </c>
      <c r="AN214">
        <v>2.4899999999999999E-2</v>
      </c>
      <c r="AO214">
        <v>0.26900000000000002</v>
      </c>
      <c r="AP214">
        <v>0.39200000000000002</v>
      </c>
      <c r="AQ214">
        <v>0.50800000000000001</v>
      </c>
      <c r="AR214">
        <v>0.495</v>
      </c>
      <c r="AS214">
        <v>0.48129680611439501</v>
      </c>
      <c r="AT214">
        <v>0.46855196358414097</v>
      </c>
      <c r="AU214">
        <v>0.50191984340100904</v>
      </c>
      <c r="AV214">
        <v>0.55560988185511495</v>
      </c>
      <c r="AW214">
        <v>0.64967267325146005</v>
      </c>
      <c r="AX214">
        <v>0.84429997199999995</v>
      </c>
      <c r="AY214">
        <v>1.646299958</v>
      </c>
      <c r="AZ214">
        <v>2</v>
      </c>
      <c r="BA214">
        <v>3</v>
      </c>
      <c r="BB214">
        <v>4</v>
      </c>
      <c r="BC214">
        <v>5</v>
      </c>
      <c r="BD214">
        <v>6</v>
      </c>
      <c r="BE214">
        <v>6.9973998069999999</v>
      </c>
      <c r="BF214">
        <v>8</v>
      </c>
      <c r="BG214">
        <v>9</v>
      </c>
      <c r="BH214">
        <v>10.00049973</v>
      </c>
      <c r="BI214">
        <v>11.000900270000001</v>
      </c>
      <c r="BJ214">
        <v>15.14840031</v>
      </c>
      <c r="BK214">
        <v>20.859399799999998</v>
      </c>
      <c r="BL214">
        <v>22.488800049999998</v>
      </c>
      <c r="BM214">
        <v>24.198400500000002</v>
      </c>
      <c r="BN214">
        <v>26.037900919999998</v>
      </c>
      <c r="BO214">
        <v>28.017299650000002</v>
      </c>
      <c r="BP214">
        <v>28.672399519999999</v>
      </c>
      <c r="BQ214">
        <v>29.040700910000002</v>
      </c>
    </row>
    <row r="215" spans="1:70">
      <c r="A215" t="s">
        <v>495</v>
      </c>
      <c r="B215" t="s">
        <v>496</v>
      </c>
      <c r="C215" t="s">
        <v>75</v>
      </c>
      <c r="D215" t="s">
        <v>76</v>
      </c>
      <c r="AI215">
        <v>0</v>
      </c>
      <c r="AL215">
        <v>0</v>
      </c>
      <c r="AM215">
        <v>0</v>
      </c>
      <c r="AN215">
        <v>0</v>
      </c>
      <c r="AO215">
        <v>2.5100000000000001E-3</v>
      </c>
      <c r="AP215">
        <v>4.9899999999999996E-3</v>
      </c>
      <c r="AQ215">
        <v>1.4799999999999999E-2</v>
      </c>
      <c r="AR215">
        <v>4.8500000000000001E-2</v>
      </c>
      <c r="AS215">
        <v>0.118254245682183</v>
      </c>
      <c r="AT215">
        <v>0.16026444549303201</v>
      </c>
      <c r="AU215">
        <v>0.17619895681407599</v>
      </c>
      <c r="AV215">
        <v>0.19017328166818301</v>
      </c>
      <c r="AW215">
        <v>0.203007680592588</v>
      </c>
      <c r="AX215">
        <v>0.21539999500000001</v>
      </c>
      <c r="AY215">
        <v>0.22769999499999999</v>
      </c>
      <c r="AZ215">
        <v>0.23980000600000001</v>
      </c>
      <c r="BA215">
        <v>0.25</v>
      </c>
      <c r="BB215">
        <v>0.25999999000000001</v>
      </c>
      <c r="BC215">
        <v>0.579999983</v>
      </c>
      <c r="BD215">
        <v>0.89999997600000003</v>
      </c>
      <c r="BE215">
        <v>2.5</v>
      </c>
      <c r="BF215">
        <v>4</v>
      </c>
      <c r="BG215">
        <v>6.0573000910000001</v>
      </c>
      <c r="BH215">
        <v>6.3443999289999997</v>
      </c>
      <c r="BI215">
        <v>7.6800999640000001</v>
      </c>
      <c r="BJ215">
        <v>9.2971000670000006</v>
      </c>
      <c r="BK215">
        <v>14.42230034</v>
      </c>
      <c r="BL215">
        <v>15.71370029</v>
      </c>
      <c r="BM215">
        <v>17.120800020000001</v>
      </c>
      <c r="BN215">
        <v>18.653900149999998</v>
      </c>
      <c r="BO215">
        <v>21.50880051</v>
      </c>
      <c r="BP215">
        <v>23.713600159999999</v>
      </c>
      <c r="BQ215">
        <v>25.104999540000001</v>
      </c>
    </row>
    <row r="216" spans="1:70">
      <c r="A216" t="s">
        <v>497</v>
      </c>
      <c r="B216" t="s">
        <v>498</v>
      </c>
      <c r="C216" t="s">
        <v>75</v>
      </c>
      <c r="D216" t="s">
        <v>76</v>
      </c>
      <c r="AI216">
        <v>0</v>
      </c>
      <c r="AO216">
        <v>8.6399999999999991E-2</v>
      </c>
      <c r="AP216">
        <v>0.25700000000000001</v>
      </c>
      <c r="AQ216">
        <v>0.42499999999999999</v>
      </c>
      <c r="AR216">
        <v>0.84499999999999997</v>
      </c>
      <c r="AS216">
        <v>1.1773972691447701</v>
      </c>
      <c r="AT216">
        <v>1.5</v>
      </c>
      <c r="AU216">
        <v>1.9</v>
      </c>
      <c r="AV216">
        <v>2.5</v>
      </c>
      <c r="AW216">
        <v>3.2</v>
      </c>
      <c r="AX216">
        <v>4.1999998090000004</v>
      </c>
      <c r="AY216">
        <v>5.5</v>
      </c>
      <c r="AZ216">
        <v>6.11</v>
      </c>
      <c r="BA216">
        <v>10.08</v>
      </c>
      <c r="BB216">
        <v>12.11</v>
      </c>
      <c r="BC216">
        <v>15.9</v>
      </c>
      <c r="BD216">
        <v>18.899999619999999</v>
      </c>
      <c r="BE216">
        <v>20.321387724200701</v>
      </c>
      <c r="BF216">
        <v>23.109300000000001</v>
      </c>
      <c r="BG216">
        <v>24.761712145906099</v>
      </c>
      <c r="BH216">
        <v>26.802604960057199</v>
      </c>
      <c r="BI216">
        <v>28.997100830000001</v>
      </c>
      <c r="BJ216">
        <v>33.820728904852601</v>
      </c>
      <c r="BK216">
        <v>43.799999239999998</v>
      </c>
      <c r="BL216">
        <v>50.491194067388797</v>
      </c>
      <c r="BM216">
        <v>54.601369759999997</v>
      </c>
      <c r="BN216">
        <v>57.263801569999998</v>
      </c>
      <c r="BO216">
        <v>60.056098939999998</v>
      </c>
      <c r="BP216">
        <v>62.619899750000002</v>
      </c>
      <c r="BQ216">
        <v>66.477699279999996</v>
      </c>
    </row>
    <row r="217" spans="1:70">
      <c r="A217" t="s">
        <v>499</v>
      </c>
      <c r="B217" t="s">
        <v>500</v>
      </c>
      <c r="C217" t="s">
        <v>75</v>
      </c>
      <c r="D217" t="s">
        <v>76</v>
      </c>
      <c r="AI217">
        <v>0</v>
      </c>
      <c r="AN217">
        <v>1.36</v>
      </c>
      <c r="AO217">
        <v>1.43</v>
      </c>
      <c r="AP217">
        <v>1.42</v>
      </c>
      <c r="AQ217">
        <v>1.41</v>
      </c>
      <c r="AR217">
        <v>42.8</v>
      </c>
      <c r="AS217">
        <v>48.799495305599898</v>
      </c>
      <c r="AT217">
        <v>50.341669089851699</v>
      </c>
      <c r="AU217">
        <v>50.834839944698501</v>
      </c>
      <c r="AV217">
        <v>50.003453038674003</v>
      </c>
      <c r="AW217">
        <v>50.566343042071203</v>
      </c>
      <c r="AY217">
        <v>50.2086593635889</v>
      </c>
      <c r="AZ217">
        <v>50.364822108865503</v>
      </c>
      <c r="BA217">
        <v>54.52</v>
      </c>
      <c r="BB217">
        <v>54.21</v>
      </c>
      <c r="BD217">
        <v>49.6</v>
      </c>
      <c r="BI217">
        <v>55</v>
      </c>
      <c r="BJ217">
        <v>60.182300570000002</v>
      </c>
      <c r="BL217">
        <v>67.850700380000006</v>
      </c>
      <c r="BM217">
        <v>77.949996949999999</v>
      </c>
      <c r="BN217">
        <v>81.66999817</v>
      </c>
      <c r="BO217">
        <v>97.327903750000004</v>
      </c>
      <c r="BP217">
        <v>97.336402890000002</v>
      </c>
      <c r="BQ217">
        <v>97.352203369999998</v>
      </c>
    </row>
    <row r="218" spans="1:70">
      <c r="A218" t="s">
        <v>501</v>
      </c>
      <c r="B218" t="s">
        <v>502</v>
      </c>
      <c r="C218" t="s">
        <v>75</v>
      </c>
      <c r="D218" t="s">
        <v>76</v>
      </c>
      <c r="AI218">
        <v>0</v>
      </c>
      <c r="AN218">
        <v>0</v>
      </c>
      <c r="AO218">
        <v>1.5099999999999998E-3</v>
      </c>
      <c r="AP218">
        <v>2.9499999999999999E-3</v>
      </c>
      <c r="AQ218">
        <v>7.1600000000000006E-3</v>
      </c>
      <c r="AR218">
        <v>1.3899999999999999E-2</v>
      </c>
      <c r="AS218">
        <v>0.02</v>
      </c>
      <c r="AT218">
        <v>7.9039178667009505E-2</v>
      </c>
      <c r="AU218">
        <v>0.115614213354469</v>
      </c>
      <c r="AV218">
        <v>0.37619800253908597</v>
      </c>
      <c r="AW218">
        <v>1.0534547435842201</v>
      </c>
      <c r="AX218">
        <v>1.077299953</v>
      </c>
      <c r="AY218">
        <v>1.1002000569999999</v>
      </c>
      <c r="AZ218">
        <v>1.122200012</v>
      </c>
      <c r="BA218">
        <v>1.142699957</v>
      </c>
      <c r="BB218">
        <v>1.1605999469999999</v>
      </c>
      <c r="BD218">
        <v>1.25</v>
      </c>
      <c r="BE218">
        <v>1.3767000439999999</v>
      </c>
      <c r="BF218">
        <v>1.5</v>
      </c>
      <c r="BG218">
        <v>1.6299999949999999</v>
      </c>
      <c r="BH218">
        <v>1.7599999900000001</v>
      </c>
      <c r="BI218">
        <v>1.8799999949999999</v>
      </c>
      <c r="BL218">
        <v>2.731400013</v>
      </c>
      <c r="BM218">
        <v>15.02369976</v>
      </c>
      <c r="BN218">
        <v>23.874799729999999</v>
      </c>
      <c r="BO218">
        <v>27.6</v>
      </c>
      <c r="BP218">
        <v>26.120100019999999</v>
      </c>
      <c r="BQ218">
        <v>27.94020081</v>
      </c>
    </row>
    <row r="219" spans="1:70">
      <c r="A219" t="s">
        <v>503</v>
      </c>
      <c r="B219" t="s">
        <v>504</v>
      </c>
      <c r="C219" t="s">
        <v>75</v>
      </c>
      <c r="D219" t="s">
        <v>76</v>
      </c>
      <c r="AW219">
        <v>23.5</v>
      </c>
      <c r="AX219">
        <v>26.299999240000002</v>
      </c>
      <c r="AY219">
        <v>27.2</v>
      </c>
      <c r="AZ219">
        <v>33.15</v>
      </c>
      <c r="BA219">
        <v>35.6</v>
      </c>
      <c r="BB219">
        <v>38.1</v>
      </c>
      <c r="BC219">
        <v>40.9</v>
      </c>
      <c r="BD219">
        <v>42.2</v>
      </c>
      <c r="BE219">
        <v>48.099998470000003</v>
      </c>
      <c r="BF219">
        <v>53.450364174999997</v>
      </c>
      <c r="BG219">
        <v>62.075080463937702</v>
      </c>
      <c r="BH219">
        <v>65.317025400380103</v>
      </c>
      <c r="BI219">
        <v>67.056841371693807</v>
      </c>
      <c r="BJ219">
        <v>70.3308355269141</v>
      </c>
      <c r="BK219">
        <v>73.360709154564006</v>
      </c>
      <c r="BL219">
        <v>77.416773621980198</v>
      </c>
      <c r="BM219">
        <v>78.368048639999998</v>
      </c>
      <c r="BN219">
        <v>81.165881159999998</v>
      </c>
      <c r="BO219">
        <v>83.53825397</v>
      </c>
      <c r="BP219">
        <v>85.357466860000002</v>
      </c>
      <c r="BQ219">
        <v>87.690712939999997</v>
      </c>
    </row>
    <row r="220" spans="1:70">
      <c r="A220" t="s">
        <v>505</v>
      </c>
      <c r="B220" t="s">
        <v>506</v>
      </c>
      <c r="C220" t="s">
        <v>75</v>
      </c>
      <c r="D220" t="s">
        <v>76</v>
      </c>
      <c r="AX220">
        <v>2.2000000000000002</v>
      </c>
      <c r="AY220">
        <v>2.8</v>
      </c>
      <c r="AZ220">
        <v>3.7</v>
      </c>
      <c r="BA220">
        <v>4.2</v>
      </c>
      <c r="BB220">
        <v>4.9000000000000004</v>
      </c>
      <c r="BC220">
        <v>6.7</v>
      </c>
      <c r="BD220">
        <v>8.3000000000000007</v>
      </c>
      <c r="BE220">
        <v>9.9</v>
      </c>
      <c r="BF220">
        <v>11.8</v>
      </c>
      <c r="BG220">
        <v>13.9</v>
      </c>
      <c r="BH220">
        <v>16.3</v>
      </c>
      <c r="BI220">
        <v>18.5</v>
      </c>
      <c r="BJ220">
        <v>20.399999999999999</v>
      </c>
      <c r="BK220">
        <v>22.8</v>
      </c>
      <c r="BL220">
        <v>25.3</v>
      </c>
      <c r="BM220">
        <v>28</v>
      </c>
      <c r="BN220">
        <v>30.3</v>
      </c>
      <c r="BO220">
        <v>32.700000000000003</v>
      </c>
      <c r="BP220">
        <v>33.5</v>
      </c>
      <c r="BQ220">
        <v>34.700000000000003</v>
      </c>
      <c r="BR220">
        <v>36.5</v>
      </c>
    </row>
    <row r="221" spans="1:70">
      <c r="A221" t="s">
        <v>507</v>
      </c>
      <c r="B221" t="s">
        <v>508</v>
      </c>
      <c r="C221" t="s">
        <v>75</v>
      </c>
      <c r="D221" t="s">
        <v>76</v>
      </c>
      <c r="BE221">
        <v>1.5</v>
      </c>
      <c r="BF221">
        <v>2.2000000480000002</v>
      </c>
      <c r="BG221">
        <v>2.5999999049999998</v>
      </c>
      <c r="BH221">
        <v>3</v>
      </c>
      <c r="BI221">
        <v>3.5</v>
      </c>
      <c r="BJ221">
        <v>4.0999999999999996</v>
      </c>
      <c r="BK221">
        <v>4.8000001909999996</v>
      </c>
      <c r="BL221">
        <v>6.6710000039999997</v>
      </c>
    </row>
    <row r="222" spans="1:70">
      <c r="A222" t="s">
        <v>509</v>
      </c>
      <c r="B222" t="s">
        <v>510</v>
      </c>
      <c r="C222" t="s">
        <v>75</v>
      </c>
      <c r="D222" t="s">
        <v>76</v>
      </c>
      <c r="AX222">
        <v>2</v>
      </c>
      <c r="AY222">
        <v>2.6</v>
      </c>
      <c r="AZ222">
        <v>3.1</v>
      </c>
      <c r="BA222">
        <v>3.6</v>
      </c>
      <c r="BB222">
        <v>4.3</v>
      </c>
      <c r="BC222">
        <v>6</v>
      </c>
      <c r="BD222">
        <v>7.5</v>
      </c>
      <c r="BE222">
        <v>9.1999999999999993</v>
      </c>
      <c r="BF222">
        <v>11.2</v>
      </c>
      <c r="BG222">
        <v>13.4</v>
      </c>
      <c r="BH222">
        <v>16.2</v>
      </c>
      <c r="BI222">
        <v>18.3</v>
      </c>
      <c r="BJ222">
        <v>20</v>
      </c>
      <c r="BK222">
        <v>22</v>
      </c>
      <c r="BL222">
        <v>24.4</v>
      </c>
      <c r="BM222">
        <v>26.7</v>
      </c>
      <c r="BN222">
        <v>29</v>
      </c>
      <c r="BO222">
        <v>31.1</v>
      </c>
      <c r="BP222">
        <v>32.299999999999997</v>
      </c>
      <c r="BQ222">
        <v>33.6</v>
      </c>
      <c r="BR222">
        <v>35.700000000000003</v>
      </c>
    </row>
    <row r="223" spans="1:70">
      <c r="A223" t="s">
        <v>511</v>
      </c>
      <c r="B223" t="s">
        <v>512</v>
      </c>
      <c r="C223" t="s">
        <v>75</v>
      </c>
      <c r="D223" t="s">
        <v>76</v>
      </c>
      <c r="AX223">
        <v>19.600000000000001</v>
      </c>
      <c r="AY223">
        <v>21.1</v>
      </c>
      <c r="AZ223">
        <v>23.3</v>
      </c>
      <c r="BA223">
        <v>25.6</v>
      </c>
      <c r="BB223">
        <v>28.7</v>
      </c>
      <c r="BC223">
        <v>32</v>
      </c>
      <c r="BD223">
        <v>35.5</v>
      </c>
      <c r="BE223">
        <v>38.5</v>
      </c>
      <c r="BF223">
        <v>41.2</v>
      </c>
      <c r="BG223">
        <v>44.7</v>
      </c>
      <c r="BH223">
        <v>47.7</v>
      </c>
      <c r="BI223">
        <v>50.9</v>
      </c>
      <c r="BJ223">
        <v>55.6</v>
      </c>
      <c r="BK223">
        <v>58</v>
      </c>
      <c r="BL223">
        <v>62.1</v>
      </c>
      <c r="BM223">
        <v>65.599999999999994</v>
      </c>
      <c r="BN223">
        <v>69.099999999999994</v>
      </c>
      <c r="BO223">
        <v>70.5</v>
      </c>
      <c r="BP223">
        <v>71.7</v>
      </c>
      <c r="BQ223">
        <v>72.5</v>
      </c>
      <c r="BR223">
        <v>0</v>
      </c>
    </row>
    <row r="224" spans="1:70">
      <c r="A224" t="s">
        <v>513</v>
      </c>
      <c r="B224" t="s">
        <v>514</v>
      </c>
      <c r="C224" t="s">
        <v>75</v>
      </c>
      <c r="D224" t="s">
        <v>76</v>
      </c>
      <c r="AI224">
        <v>0</v>
      </c>
      <c r="AQ224">
        <v>0.29599999999999999</v>
      </c>
      <c r="AR224">
        <v>0.36299999999999999</v>
      </c>
      <c r="AS224">
        <v>4.6385168164074999</v>
      </c>
      <c r="AT224">
        <v>6.3109178879461503</v>
      </c>
      <c r="AU224">
        <v>7.5806651689109996</v>
      </c>
      <c r="AV224">
        <v>10.1618443069961</v>
      </c>
      <c r="AW224">
        <v>13.3228526892178</v>
      </c>
      <c r="AX224">
        <v>13.759499549999999</v>
      </c>
      <c r="AY224">
        <v>14.182000159999999</v>
      </c>
      <c r="AZ224">
        <v>14.590483198741399</v>
      </c>
      <c r="BA224">
        <v>15.47999954</v>
      </c>
      <c r="BB224">
        <v>16.409999849999998</v>
      </c>
      <c r="BC224">
        <v>18.75</v>
      </c>
      <c r="BD224">
        <v>20.161199570000001</v>
      </c>
      <c r="BE224">
        <v>21.572399140000002</v>
      </c>
      <c r="BF224">
        <v>23</v>
      </c>
      <c r="BG224">
        <v>24.409999849999998</v>
      </c>
      <c r="BH224">
        <v>25.81999969</v>
      </c>
      <c r="BI224">
        <v>28</v>
      </c>
      <c r="BJ224">
        <v>32.616401670000002</v>
      </c>
      <c r="BK224">
        <v>37.993801120000001</v>
      </c>
      <c r="BL224">
        <v>44.257900239999998</v>
      </c>
      <c r="BM224">
        <v>51.554698940000002</v>
      </c>
      <c r="BN224">
        <v>54.949501040000001</v>
      </c>
      <c r="BO224">
        <v>58.567798609999997</v>
      </c>
      <c r="BP224">
        <v>58.701301569999998</v>
      </c>
      <c r="BQ224">
        <v>59.117599490000003</v>
      </c>
    </row>
    <row r="225" spans="1:70">
      <c r="A225" t="s">
        <v>515</v>
      </c>
      <c r="B225" t="s">
        <v>516</v>
      </c>
      <c r="C225" t="s">
        <v>75</v>
      </c>
      <c r="D225" t="s">
        <v>76</v>
      </c>
      <c r="AI225">
        <v>0</v>
      </c>
      <c r="AN225">
        <v>0.115</v>
      </c>
      <c r="AO225">
        <v>0.22599999999999998</v>
      </c>
      <c r="AP225">
        <v>1</v>
      </c>
      <c r="AQ225">
        <v>1.67</v>
      </c>
      <c r="AR225">
        <v>1.89</v>
      </c>
      <c r="AS225">
        <v>2.5064110522688101</v>
      </c>
      <c r="AT225">
        <v>3.06444838873752</v>
      </c>
      <c r="AU225">
        <v>4.1615687449541001</v>
      </c>
      <c r="AV225">
        <v>4.7198753952895602</v>
      </c>
      <c r="AW225">
        <v>6.0760478144455998</v>
      </c>
      <c r="AX225">
        <v>6.4030862875906198</v>
      </c>
      <c r="AY225">
        <v>9.4996004099999993</v>
      </c>
      <c r="AZ225">
        <v>14.11</v>
      </c>
      <c r="BA225">
        <v>21.059999470000001</v>
      </c>
      <c r="BB225">
        <v>31.36</v>
      </c>
      <c r="BC225">
        <v>31.59</v>
      </c>
      <c r="BD225">
        <v>32</v>
      </c>
      <c r="BE225">
        <v>34.681198119999998</v>
      </c>
      <c r="BF225">
        <v>37.400001529999997</v>
      </c>
      <c r="BG225">
        <v>40.08000183</v>
      </c>
      <c r="BH225">
        <v>42.763801569999998</v>
      </c>
      <c r="BI225">
        <v>45.400001529999997</v>
      </c>
      <c r="BJ225">
        <v>48.945201869999998</v>
      </c>
      <c r="BK225">
        <v>55.102100370000002</v>
      </c>
      <c r="BL225">
        <v>62.033500670000002</v>
      </c>
      <c r="BP225">
        <v>87.4</v>
      </c>
    </row>
    <row r="226" spans="1:70">
      <c r="A226" t="s">
        <v>517</v>
      </c>
      <c r="B226" t="s">
        <v>518</v>
      </c>
      <c r="C226" t="s">
        <v>75</v>
      </c>
      <c r="D226" t="s">
        <v>76</v>
      </c>
      <c r="AI226">
        <v>0</v>
      </c>
      <c r="AL226">
        <v>0.128</v>
      </c>
      <c r="AM226">
        <v>0.31900000000000001</v>
      </c>
      <c r="AN226">
        <v>0.52300000000000002</v>
      </c>
      <c r="AO226">
        <v>0.78300000000000003</v>
      </c>
      <c r="AP226">
        <v>1.17</v>
      </c>
      <c r="AQ226">
        <v>2.69</v>
      </c>
      <c r="AR226">
        <v>5.44</v>
      </c>
      <c r="AS226">
        <v>9.4268032006163693</v>
      </c>
      <c r="AT226">
        <v>12.528321848463699</v>
      </c>
      <c r="AU226">
        <v>40.14</v>
      </c>
      <c r="AV226">
        <v>43.04</v>
      </c>
      <c r="AW226">
        <v>52.89</v>
      </c>
      <c r="AX226">
        <v>55.19</v>
      </c>
      <c r="AY226">
        <v>56.08</v>
      </c>
      <c r="AZ226">
        <v>61.8</v>
      </c>
      <c r="BA226">
        <v>66.05</v>
      </c>
      <c r="BB226">
        <v>70</v>
      </c>
      <c r="BC226">
        <v>75.709999999999994</v>
      </c>
      <c r="BD226">
        <v>74.439997174675696</v>
      </c>
      <c r="BE226">
        <v>76.709990118112103</v>
      </c>
      <c r="BF226">
        <v>77.882599999999996</v>
      </c>
      <c r="BG226">
        <v>79.984301765672896</v>
      </c>
      <c r="BH226">
        <v>77.634682033987502</v>
      </c>
      <c r="BI226">
        <v>80.475857275668005</v>
      </c>
      <c r="BJ226">
        <v>81.625667517265498</v>
      </c>
      <c r="BK226">
        <v>80.448922482609902</v>
      </c>
      <c r="BL226">
        <v>82.8536605021784</v>
      </c>
      <c r="BM226">
        <v>89.920904129999997</v>
      </c>
      <c r="BN226">
        <v>88.925605230000002</v>
      </c>
      <c r="BO226">
        <v>89.067661959999995</v>
      </c>
      <c r="BP226">
        <v>87.213134299999993</v>
      </c>
      <c r="BQ226">
        <v>89.825070319999995</v>
      </c>
    </row>
    <row r="227" spans="1:70">
      <c r="A227" t="s">
        <v>519</v>
      </c>
      <c r="B227" t="s">
        <v>520</v>
      </c>
      <c r="C227" t="s">
        <v>75</v>
      </c>
      <c r="D227" t="s">
        <v>76</v>
      </c>
      <c r="AI227">
        <v>0</v>
      </c>
      <c r="AL227">
        <v>0.41</v>
      </c>
      <c r="AM227">
        <v>1.07</v>
      </c>
      <c r="AN227">
        <v>2.9</v>
      </c>
      <c r="AO227">
        <v>5.07</v>
      </c>
      <c r="AP227">
        <v>7.59</v>
      </c>
      <c r="AQ227">
        <v>10.1</v>
      </c>
      <c r="AR227">
        <v>12.6</v>
      </c>
      <c r="AS227">
        <v>15.110259564038801</v>
      </c>
      <c r="AT227">
        <v>30.175910470085402</v>
      </c>
      <c r="AU227">
        <v>27.838885418068699</v>
      </c>
      <c r="AV227">
        <v>31.854793012044102</v>
      </c>
      <c r="AW227">
        <v>40.81</v>
      </c>
      <c r="AX227">
        <v>46.81</v>
      </c>
      <c r="AY227">
        <v>54.01</v>
      </c>
      <c r="AZ227">
        <v>56.74</v>
      </c>
      <c r="BA227">
        <v>58</v>
      </c>
      <c r="BB227">
        <v>64</v>
      </c>
      <c r="BC227">
        <v>70</v>
      </c>
      <c r="BD227">
        <v>67.339994809239599</v>
      </c>
      <c r="BE227">
        <v>68.349974528782496</v>
      </c>
      <c r="BF227">
        <v>72.675600000000003</v>
      </c>
      <c r="BG227">
        <v>71.586251585560106</v>
      </c>
      <c r="BH227">
        <v>73.098659974582901</v>
      </c>
      <c r="BI227">
        <v>75.498504261079106</v>
      </c>
      <c r="BJ227">
        <v>78.885426355477506</v>
      </c>
      <c r="BK227">
        <v>79.749976595656193</v>
      </c>
      <c r="BL227">
        <v>83.108357802671705</v>
      </c>
      <c r="BM227">
        <v>86.601301090000007</v>
      </c>
      <c r="BN227">
        <v>89.003995239999995</v>
      </c>
      <c r="BO227">
        <v>88.912485520000004</v>
      </c>
      <c r="BP227">
        <v>90.377946780000002</v>
      </c>
      <c r="BQ227">
        <v>90.763554869999993</v>
      </c>
    </row>
    <row r="228" spans="1:70">
      <c r="A228" t="s">
        <v>521</v>
      </c>
      <c r="B228" t="s">
        <v>522</v>
      </c>
      <c r="C228" t="s">
        <v>75</v>
      </c>
      <c r="D228" t="s">
        <v>76</v>
      </c>
      <c r="AI228">
        <v>0.58399999999999996</v>
      </c>
      <c r="AJ228">
        <v>1.1599999999999999</v>
      </c>
      <c r="AK228">
        <v>1.5</v>
      </c>
      <c r="AL228">
        <v>1.72</v>
      </c>
      <c r="AM228">
        <v>3.41</v>
      </c>
      <c r="AN228">
        <v>5.0999999999999996</v>
      </c>
      <c r="AO228">
        <v>9.0399999999999991</v>
      </c>
      <c r="AP228">
        <v>23.7</v>
      </c>
      <c r="AQ228">
        <v>33.5</v>
      </c>
      <c r="AR228">
        <v>41.4</v>
      </c>
      <c r="AS228">
        <v>45.687652212228201</v>
      </c>
      <c r="AT228">
        <v>51.765664937280803</v>
      </c>
      <c r="AU228">
        <v>70.569999999999993</v>
      </c>
      <c r="AV228">
        <v>79.13</v>
      </c>
      <c r="AW228">
        <v>83.89</v>
      </c>
      <c r="AX228">
        <v>84.83</v>
      </c>
      <c r="AY228">
        <v>87.76</v>
      </c>
      <c r="AZ228">
        <v>82.01</v>
      </c>
      <c r="BA228">
        <v>90</v>
      </c>
      <c r="BB228">
        <v>91</v>
      </c>
      <c r="BC228">
        <v>90</v>
      </c>
      <c r="BD228">
        <v>92.769986055404601</v>
      </c>
      <c r="BE228">
        <v>93.179988006510797</v>
      </c>
      <c r="BF228">
        <v>94.783600000000007</v>
      </c>
      <c r="BG228">
        <v>92.523606503757904</v>
      </c>
      <c r="BH228">
        <v>90.610196639861599</v>
      </c>
      <c r="BI228">
        <v>89.650947610235505</v>
      </c>
      <c r="BJ228">
        <v>93.006266965212703</v>
      </c>
      <c r="BK228">
        <v>89.246963158813699</v>
      </c>
      <c r="BL228">
        <v>94.493443407220198</v>
      </c>
      <c r="BM228">
        <v>94.539431219999997</v>
      </c>
      <c r="BN228">
        <v>94.670316299999996</v>
      </c>
      <c r="BO228">
        <v>95.009703349999995</v>
      </c>
      <c r="BP228">
        <v>95.703274609999994</v>
      </c>
      <c r="BQ228">
        <v>95.529304280000005</v>
      </c>
      <c r="BR228">
        <v>95.766297829999999</v>
      </c>
    </row>
    <row r="229" spans="1:70">
      <c r="A229" t="s">
        <v>523</v>
      </c>
      <c r="B229" t="s">
        <v>524</v>
      </c>
      <c r="C229" t="s">
        <v>75</v>
      </c>
      <c r="D229" t="s">
        <v>76</v>
      </c>
      <c r="AI229">
        <v>0</v>
      </c>
      <c r="AN229">
        <v>1.0299999999999999E-3</v>
      </c>
      <c r="AO229">
        <v>5.04E-2</v>
      </c>
      <c r="AP229">
        <v>8.8500000000000009E-2</v>
      </c>
      <c r="AQ229">
        <v>9.6100000000000005E-2</v>
      </c>
      <c r="AR229">
        <v>0.47099999999999997</v>
      </c>
      <c r="AS229">
        <v>0.92619177726940105</v>
      </c>
      <c r="AT229">
        <v>1.28159005046719</v>
      </c>
      <c r="AU229">
        <v>1.8162038071264199</v>
      </c>
      <c r="AV229">
        <v>2.43707385055863</v>
      </c>
      <c r="AW229">
        <v>3.2286850731611101</v>
      </c>
      <c r="AX229">
        <v>3.6970000270000001</v>
      </c>
      <c r="AY229">
        <v>3.6965387890688199</v>
      </c>
      <c r="AZ229">
        <v>4.0999999999999996</v>
      </c>
      <c r="BA229">
        <v>6.85</v>
      </c>
      <c r="BB229">
        <v>8.94</v>
      </c>
      <c r="BC229">
        <v>11.04</v>
      </c>
      <c r="BD229">
        <v>18.13</v>
      </c>
      <c r="BE229">
        <v>20.781799320000001</v>
      </c>
      <c r="BF229">
        <v>24.700000760000002</v>
      </c>
      <c r="BG229">
        <v>25</v>
      </c>
      <c r="BH229">
        <v>25.64299965</v>
      </c>
      <c r="BI229">
        <v>28.56999969</v>
      </c>
      <c r="BJ229">
        <v>35.331600190000003</v>
      </c>
      <c r="BK229">
        <v>39.381000520000001</v>
      </c>
      <c r="BL229">
        <v>43.933898929999998</v>
      </c>
      <c r="BM229">
        <v>49.013000490000003</v>
      </c>
      <c r="BN229">
        <v>53.995300290000003</v>
      </c>
      <c r="BO229">
        <v>57.343700409999997</v>
      </c>
      <c r="BP229">
        <v>61.333301540000001</v>
      </c>
      <c r="BQ229">
        <v>63.403099060000002</v>
      </c>
    </row>
    <row r="230" spans="1:70">
      <c r="A230" t="s">
        <v>525</v>
      </c>
      <c r="B230" t="s">
        <v>526</v>
      </c>
      <c r="C230" t="s">
        <v>75</v>
      </c>
      <c r="D230" t="s">
        <v>76</v>
      </c>
    </row>
    <row r="231" spans="1:70">
      <c r="A231" t="s">
        <v>527</v>
      </c>
      <c r="B231" t="s">
        <v>528</v>
      </c>
      <c r="C231" t="s">
        <v>75</v>
      </c>
      <c r="D231" t="s">
        <v>76</v>
      </c>
      <c r="AI231">
        <v>0</v>
      </c>
      <c r="AO231">
        <v>0.65100000000000002</v>
      </c>
      <c r="AP231">
        <v>1.28</v>
      </c>
      <c r="AQ231">
        <v>2.5299999999999998</v>
      </c>
      <c r="AR231">
        <v>6.23</v>
      </c>
      <c r="AS231">
        <v>7.3956291831527601</v>
      </c>
      <c r="AT231">
        <v>11.015102930017401</v>
      </c>
      <c r="AU231">
        <v>14.304170830997201</v>
      </c>
      <c r="AV231">
        <v>14.592504316949199</v>
      </c>
      <c r="AW231">
        <v>24.2721392249906</v>
      </c>
      <c r="AX231">
        <v>25.413268146283599</v>
      </c>
      <c r="AY231">
        <v>34.951971170649998</v>
      </c>
      <c r="AZ231">
        <v>38.380000000000003</v>
      </c>
      <c r="BA231">
        <v>40.44</v>
      </c>
      <c r="BC231">
        <v>41</v>
      </c>
      <c r="BD231">
        <v>43.164001460000001</v>
      </c>
      <c r="BE231">
        <v>47.076000209999997</v>
      </c>
      <c r="BF231">
        <v>50.400001529999997</v>
      </c>
      <c r="BG231">
        <v>51.254699709999997</v>
      </c>
      <c r="BH231">
        <v>54.259601590000003</v>
      </c>
      <c r="BI231">
        <v>56.514701840000001</v>
      </c>
      <c r="BJ231">
        <v>62.55310059</v>
      </c>
      <c r="BK231">
        <v>69.236602779999998</v>
      </c>
      <c r="BL231">
        <v>76.634201050000001</v>
      </c>
      <c r="BM231">
        <v>79.251701350000005</v>
      </c>
      <c r="BN231">
        <v>81.995300290000003</v>
      </c>
      <c r="BO231">
        <v>84.833801269999995</v>
      </c>
      <c r="BP231">
        <v>86.001296999999994</v>
      </c>
      <c r="BQ231">
        <v>87.818000789999999</v>
      </c>
    </row>
    <row r="232" spans="1:70">
      <c r="A232" t="s">
        <v>529</v>
      </c>
      <c r="B232" t="s">
        <v>530</v>
      </c>
      <c r="C232" t="s">
        <v>75</v>
      </c>
      <c r="D232" t="s">
        <v>76</v>
      </c>
      <c r="AI232">
        <v>0</v>
      </c>
      <c r="AJ232">
        <v>0</v>
      </c>
      <c r="AK232">
        <v>0</v>
      </c>
      <c r="AL232">
        <v>0</v>
      </c>
      <c r="AM232">
        <v>0</v>
      </c>
      <c r="AN232">
        <v>0</v>
      </c>
      <c r="AO232">
        <v>0</v>
      </c>
      <c r="AP232">
        <v>3.2600000000000004E-2</v>
      </c>
      <c r="AQ232">
        <v>6.3699999999999993E-2</v>
      </c>
      <c r="AR232">
        <v>0.124</v>
      </c>
      <c r="AS232">
        <v>0.18169858010433301</v>
      </c>
      <c r="AT232">
        <v>0.35375913000724701</v>
      </c>
      <c r="AU232">
        <v>2.09310101861765</v>
      </c>
      <c r="AV232">
        <v>3.39797261356623</v>
      </c>
      <c r="AW232">
        <v>4.3215937778557096</v>
      </c>
      <c r="AX232">
        <v>5.648099899</v>
      </c>
      <c r="AY232">
        <v>7.8326001170000001</v>
      </c>
      <c r="AZ232">
        <v>11.5</v>
      </c>
      <c r="BA232">
        <v>14</v>
      </c>
      <c r="BB232">
        <v>17.3</v>
      </c>
      <c r="BC232">
        <v>20.7</v>
      </c>
      <c r="BD232">
        <v>22.5</v>
      </c>
      <c r="BE232">
        <v>24.300100329999999</v>
      </c>
      <c r="BF232">
        <v>26.200000760000002</v>
      </c>
      <c r="BG232">
        <v>28.090000150000002</v>
      </c>
      <c r="BH232">
        <v>29.979799270000001</v>
      </c>
      <c r="BI232">
        <v>31.869600299999998</v>
      </c>
      <c r="BJ232">
        <v>32.700000760000002</v>
      </c>
      <c r="BK232">
        <v>33.770000459999999</v>
      </c>
    </row>
    <row r="233" spans="1:70">
      <c r="A233" t="s">
        <v>531</v>
      </c>
      <c r="B233" t="s">
        <v>532</v>
      </c>
      <c r="C233" t="s">
        <v>75</v>
      </c>
      <c r="D233" t="s">
        <v>76</v>
      </c>
      <c r="AI233">
        <v>0</v>
      </c>
    </row>
    <row r="234" spans="1:70">
      <c r="A234" t="s">
        <v>533</v>
      </c>
      <c r="B234" t="s">
        <v>534</v>
      </c>
      <c r="C234" t="s">
        <v>75</v>
      </c>
      <c r="D234" t="s">
        <v>76</v>
      </c>
      <c r="AI234">
        <v>0</v>
      </c>
      <c r="AP234">
        <v>6.5799999999999995E-4</v>
      </c>
      <c r="AQ234">
        <v>4.2700000000000004E-3</v>
      </c>
      <c r="AR234">
        <v>1.23E-2</v>
      </c>
      <c r="AS234">
        <v>3.5707076285549998E-2</v>
      </c>
      <c r="AT234">
        <v>4.5934134355735297E-2</v>
      </c>
      <c r="AU234">
        <v>0.166069664674347</v>
      </c>
      <c r="AV234">
        <v>0.32030855536677499</v>
      </c>
      <c r="AW234">
        <v>0.36092010703446697</v>
      </c>
      <c r="AX234">
        <v>0.39925770008400402</v>
      </c>
      <c r="AY234">
        <v>0.58104576422964105</v>
      </c>
      <c r="AZ234">
        <v>0.84722452071096799</v>
      </c>
      <c r="BA234">
        <v>1.19</v>
      </c>
      <c r="BB234">
        <v>1.5</v>
      </c>
      <c r="BC234">
        <v>1.7000000479999999</v>
      </c>
      <c r="BD234">
        <v>1.8999999759999999</v>
      </c>
      <c r="BE234">
        <v>2.0999999050000002</v>
      </c>
      <c r="BF234">
        <v>2.5</v>
      </c>
      <c r="BG234">
        <v>2.9000000950000002</v>
      </c>
      <c r="BH234">
        <v>3.5</v>
      </c>
      <c r="BI234">
        <v>5.8000001909999996</v>
      </c>
      <c r="BJ234">
        <v>6.351900101</v>
      </c>
      <c r="BK234">
        <v>6.9562997820000003</v>
      </c>
      <c r="BL234">
        <v>7.6181998249999996</v>
      </c>
      <c r="BM234">
        <v>8.3430995939999999</v>
      </c>
      <c r="BN234">
        <v>9.6536998749999992</v>
      </c>
      <c r="BO234">
        <v>11.170299529999999</v>
      </c>
      <c r="BP234">
        <v>12.035900120000001</v>
      </c>
      <c r="BQ234">
        <v>12.626899720000001</v>
      </c>
    </row>
    <row r="235" spans="1:70">
      <c r="A235" t="s">
        <v>535</v>
      </c>
      <c r="B235" t="s">
        <v>536</v>
      </c>
      <c r="C235" t="s">
        <v>75</v>
      </c>
      <c r="D235" t="s">
        <v>76</v>
      </c>
      <c r="AX235">
        <v>8.4</v>
      </c>
      <c r="AY235">
        <v>10.3</v>
      </c>
      <c r="AZ235">
        <v>14.5</v>
      </c>
      <c r="BA235">
        <v>19.5</v>
      </c>
      <c r="BB235">
        <v>24</v>
      </c>
      <c r="BC235">
        <v>29.3</v>
      </c>
      <c r="BD235">
        <v>32.700000000000003</v>
      </c>
      <c r="BE235">
        <v>36.1</v>
      </c>
      <c r="BF235">
        <v>38.700000000000003</v>
      </c>
      <c r="BG235">
        <v>41.1</v>
      </c>
      <c r="BH235">
        <v>44.1</v>
      </c>
      <c r="BI235">
        <v>50.2</v>
      </c>
      <c r="BJ235">
        <v>54.6</v>
      </c>
      <c r="BK235">
        <v>59.8</v>
      </c>
      <c r="BL235">
        <v>64.3</v>
      </c>
      <c r="BM235">
        <v>72.7</v>
      </c>
      <c r="BN235">
        <v>78.3</v>
      </c>
      <c r="BO235">
        <v>82.3</v>
      </c>
      <c r="BP235">
        <v>85</v>
      </c>
      <c r="BQ235">
        <v>86.8</v>
      </c>
      <c r="BR235">
        <v>88.9</v>
      </c>
    </row>
    <row r="236" spans="1:70">
      <c r="A236" t="s">
        <v>537</v>
      </c>
      <c r="B236" t="s">
        <v>538</v>
      </c>
      <c r="C236" t="s">
        <v>75</v>
      </c>
      <c r="D236" t="s">
        <v>76</v>
      </c>
      <c r="AX236">
        <v>14.6</v>
      </c>
      <c r="AY236">
        <v>17.7</v>
      </c>
      <c r="AZ236">
        <v>23</v>
      </c>
      <c r="BA236">
        <v>28.2</v>
      </c>
      <c r="BB236">
        <v>34.700000000000003</v>
      </c>
      <c r="BC236">
        <v>40</v>
      </c>
      <c r="BD236">
        <v>45.4</v>
      </c>
      <c r="BE236">
        <v>50.7</v>
      </c>
      <c r="BF236">
        <v>53.5</v>
      </c>
      <c r="BG236">
        <v>57.7</v>
      </c>
      <c r="BH236">
        <v>59.4</v>
      </c>
      <c r="BI236">
        <v>63.3</v>
      </c>
      <c r="BJ236">
        <v>67</v>
      </c>
      <c r="BK236">
        <v>71.8</v>
      </c>
      <c r="BL236">
        <v>75.2</v>
      </c>
      <c r="BM236">
        <v>78.599999999999994</v>
      </c>
      <c r="BN236">
        <v>82.6</v>
      </c>
      <c r="BO236">
        <v>85.2</v>
      </c>
      <c r="BP236">
        <v>87.3</v>
      </c>
      <c r="BQ236">
        <v>88.9</v>
      </c>
      <c r="BR236">
        <v>90.8</v>
      </c>
    </row>
    <row r="237" spans="1:70">
      <c r="A237" t="s">
        <v>539</v>
      </c>
      <c r="B237" t="s">
        <v>540</v>
      </c>
      <c r="C237" t="s">
        <v>75</v>
      </c>
      <c r="D237" t="s">
        <v>76</v>
      </c>
      <c r="AI237">
        <v>0</v>
      </c>
      <c r="AJ237">
        <v>0</v>
      </c>
      <c r="AK237">
        <v>0</v>
      </c>
      <c r="AL237">
        <v>0</v>
      </c>
      <c r="AM237">
        <v>0</v>
      </c>
      <c r="AN237">
        <v>0</v>
      </c>
      <c r="AO237">
        <v>1.09E-2</v>
      </c>
      <c r="AP237">
        <v>0.21099999999999999</v>
      </c>
      <c r="AQ237">
        <v>0.30599999999999999</v>
      </c>
      <c r="AR237">
        <v>0.59</v>
      </c>
      <c r="AS237">
        <v>0.8</v>
      </c>
      <c r="AT237">
        <v>0.9</v>
      </c>
      <c r="AU237">
        <v>1</v>
      </c>
      <c r="AV237">
        <v>1.2</v>
      </c>
      <c r="AW237">
        <v>1.5</v>
      </c>
      <c r="AX237">
        <v>1.7999999520000001</v>
      </c>
      <c r="AY237">
        <v>2</v>
      </c>
      <c r="AZ237">
        <v>2.2000000480000002</v>
      </c>
      <c r="BA237">
        <v>2.4000000950000002</v>
      </c>
      <c r="BB237">
        <v>2.5999999049999998</v>
      </c>
      <c r="BC237">
        <v>3</v>
      </c>
      <c r="BD237">
        <v>3.5</v>
      </c>
      <c r="BE237">
        <v>4</v>
      </c>
      <c r="BF237">
        <v>4.5</v>
      </c>
      <c r="BG237">
        <v>5.6999998090000004</v>
      </c>
      <c r="BH237">
        <v>7.1199998860000004</v>
      </c>
      <c r="BI237">
        <v>11.31000042</v>
      </c>
      <c r="BJ237">
        <v>12.360224969290501</v>
      </c>
      <c r="BK237">
        <v>15.5</v>
      </c>
      <c r="BL237">
        <v>20.727300639999999</v>
      </c>
      <c r="BM237">
        <v>29.02370071</v>
      </c>
      <c r="BN237">
        <v>30.338399890000002</v>
      </c>
      <c r="BO237">
        <v>35.60749817</v>
      </c>
      <c r="BP237">
        <v>37.570201869999998</v>
      </c>
      <c r="BQ237">
        <v>39.483200070000002</v>
      </c>
    </row>
    <row r="238" spans="1:70">
      <c r="A238" t="s">
        <v>541</v>
      </c>
      <c r="B238" t="s">
        <v>542</v>
      </c>
      <c r="C238" t="s">
        <v>75</v>
      </c>
      <c r="D238" t="s">
        <v>76</v>
      </c>
      <c r="AI238">
        <v>0</v>
      </c>
      <c r="AJ238">
        <v>5.2200000000000002E-5</v>
      </c>
      <c r="AK238">
        <v>3.4400000000000001E-4</v>
      </c>
      <c r="AL238">
        <v>1.3599999999999999E-2</v>
      </c>
      <c r="AM238">
        <v>3.8600000000000002E-2</v>
      </c>
      <c r="AN238">
        <v>7.4799999999999991E-2</v>
      </c>
      <c r="AO238">
        <v>0.115</v>
      </c>
      <c r="AP238">
        <v>0.36099999999999999</v>
      </c>
      <c r="AQ238">
        <v>1.0900000000000001</v>
      </c>
      <c r="AR238">
        <v>2.4300000000000002</v>
      </c>
      <c r="AS238">
        <v>3.6890412794416401</v>
      </c>
      <c r="AT238">
        <v>5.5563261209733197</v>
      </c>
      <c r="AU238">
        <v>7.5312503348856703</v>
      </c>
      <c r="AV238">
        <v>9.2990272380596508</v>
      </c>
      <c r="AW238">
        <v>10.677303323728101</v>
      </c>
      <c r="AX238">
        <v>15.0260043588909</v>
      </c>
      <c r="AY238">
        <v>17.160714716928499</v>
      </c>
      <c r="AZ238">
        <v>20.03</v>
      </c>
      <c r="BA238">
        <v>18.2</v>
      </c>
      <c r="BB238">
        <v>20.100000000000001</v>
      </c>
      <c r="BC238">
        <v>22.4</v>
      </c>
      <c r="BD238">
        <v>23.669925618731</v>
      </c>
      <c r="BE238">
        <v>26.46</v>
      </c>
      <c r="BF238">
        <v>28.94</v>
      </c>
      <c r="BG238">
        <v>34.886053578346498</v>
      </c>
      <c r="BH238">
        <v>39.316126736500401</v>
      </c>
      <c r="BI238">
        <v>47.504965621590898</v>
      </c>
      <c r="BJ238">
        <v>52.891929343967597</v>
      </c>
      <c r="BK238">
        <v>56.817480930145599</v>
      </c>
      <c r="BL238">
        <v>66.652419458752803</v>
      </c>
      <c r="BM238">
        <v>77.843740659999995</v>
      </c>
      <c r="BN238">
        <v>85.269566659999995</v>
      </c>
      <c r="BO238">
        <v>87.977245030000006</v>
      </c>
      <c r="BP238">
        <v>89.535252380000003</v>
      </c>
      <c r="BQ238">
        <v>90.867187889999997</v>
      </c>
    </row>
    <row r="239" spans="1:70">
      <c r="A239" t="s">
        <v>543</v>
      </c>
      <c r="B239" t="s">
        <v>544</v>
      </c>
      <c r="C239" t="s">
        <v>75</v>
      </c>
      <c r="D239" t="s">
        <v>76</v>
      </c>
      <c r="AI239">
        <v>0</v>
      </c>
      <c r="AR239">
        <v>3.2800000000000003E-2</v>
      </c>
      <c r="AS239">
        <v>4.8599594582182E-2</v>
      </c>
      <c r="AT239">
        <v>5.1259132535292698E-2</v>
      </c>
      <c r="AU239">
        <v>5.5462826991000601E-2</v>
      </c>
      <c r="AV239">
        <v>6.4583777150855295E-2</v>
      </c>
      <c r="AW239">
        <v>7.7479907135682494E-2</v>
      </c>
      <c r="AX239">
        <v>0.29869002368282499</v>
      </c>
      <c r="AY239">
        <v>3.7724062066644799</v>
      </c>
      <c r="AZ239">
        <v>7.1976195179785503</v>
      </c>
      <c r="BA239">
        <v>8.7799999999999994</v>
      </c>
      <c r="BB239">
        <v>10.07</v>
      </c>
      <c r="BC239">
        <v>11.55000019</v>
      </c>
      <c r="BD239">
        <v>13.02999973</v>
      </c>
      <c r="BE239">
        <v>14.510000229999999</v>
      </c>
      <c r="BF239">
        <v>16</v>
      </c>
      <c r="BG239">
        <v>17.489999770000001</v>
      </c>
      <c r="BH239">
        <v>18.979999540000001</v>
      </c>
      <c r="BI239">
        <v>20.469999309999999</v>
      </c>
      <c r="BJ239">
        <v>21.959999079999999</v>
      </c>
      <c r="BK239">
        <v>32.599998470000003</v>
      </c>
      <c r="BL239">
        <v>22.686300280000001</v>
      </c>
      <c r="BM239">
        <v>27.544099809999999</v>
      </c>
      <c r="BN239">
        <v>36.705600740000001</v>
      </c>
      <c r="BO239">
        <v>48.914299010000001</v>
      </c>
      <c r="BP239">
        <v>54.415500639999998</v>
      </c>
      <c r="BQ239">
        <v>55.793399809999997</v>
      </c>
    </row>
    <row r="240" spans="1:70">
      <c r="A240" t="s">
        <v>545</v>
      </c>
      <c r="B240" t="s">
        <v>546</v>
      </c>
      <c r="C240" t="s">
        <v>75</v>
      </c>
      <c r="D240" t="s">
        <v>76</v>
      </c>
      <c r="AI240">
        <v>0</v>
      </c>
      <c r="AR240">
        <v>4.4999999999999998E-2</v>
      </c>
      <c r="AS240">
        <v>0.13328218259347999</v>
      </c>
      <c r="AT240">
        <v>0.17520951773142199</v>
      </c>
      <c r="AU240">
        <v>0.30213201615284102</v>
      </c>
      <c r="AV240">
        <v>0.42518263188474298</v>
      </c>
      <c r="AW240">
        <v>0.75405398272462298</v>
      </c>
      <c r="AX240">
        <v>0.99730002900000003</v>
      </c>
      <c r="AY240">
        <v>1.3195731180963</v>
      </c>
      <c r="AZ240">
        <v>1.40636068812023</v>
      </c>
      <c r="BA240">
        <v>1.75</v>
      </c>
      <c r="BB240">
        <v>1.9500000479999999</v>
      </c>
      <c r="BC240">
        <v>3</v>
      </c>
      <c r="BD240">
        <v>5</v>
      </c>
      <c r="BE240">
        <v>7.1957998280000002</v>
      </c>
      <c r="BF240">
        <v>9.6000003809999992</v>
      </c>
      <c r="BG240">
        <v>12.19999981</v>
      </c>
      <c r="BH240">
        <v>14.99680042</v>
      </c>
      <c r="BI240">
        <v>17.990299220000001</v>
      </c>
    </row>
    <row r="241" spans="1:70">
      <c r="A241" t="s">
        <v>547</v>
      </c>
      <c r="B241" t="s">
        <v>548</v>
      </c>
      <c r="C241" t="s">
        <v>75</v>
      </c>
      <c r="D241" t="s">
        <v>76</v>
      </c>
      <c r="AX241">
        <v>16.7</v>
      </c>
      <c r="AY241">
        <v>20.9</v>
      </c>
      <c r="AZ241">
        <v>23.9</v>
      </c>
      <c r="BA241">
        <v>26.7</v>
      </c>
      <c r="BB241">
        <v>31.3</v>
      </c>
      <c r="BC241">
        <v>35</v>
      </c>
      <c r="BD241">
        <v>39.700000000000003</v>
      </c>
      <c r="BE241">
        <v>43.4</v>
      </c>
      <c r="BF241">
        <v>46.4</v>
      </c>
      <c r="BG241">
        <v>49</v>
      </c>
      <c r="BH241">
        <v>54.7</v>
      </c>
      <c r="BI241">
        <v>57.7</v>
      </c>
      <c r="BJ241">
        <v>60.2</v>
      </c>
      <c r="BK241">
        <v>63.5</v>
      </c>
      <c r="BL241">
        <v>67.7</v>
      </c>
      <c r="BM241">
        <v>73.8</v>
      </c>
      <c r="BN241">
        <v>75.900000000000006</v>
      </c>
      <c r="BO241">
        <v>77.3</v>
      </c>
      <c r="BP241">
        <v>80.2</v>
      </c>
      <c r="BQ241">
        <v>81.8</v>
      </c>
      <c r="BR241">
        <v>83.9</v>
      </c>
    </row>
    <row r="242" spans="1:70">
      <c r="A242" t="s">
        <v>549</v>
      </c>
      <c r="B242" t="s">
        <v>550</v>
      </c>
      <c r="C242" t="s">
        <v>75</v>
      </c>
      <c r="D242" t="s">
        <v>76</v>
      </c>
      <c r="AI242">
        <v>0</v>
      </c>
      <c r="AU242">
        <v>0</v>
      </c>
      <c r="AX242">
        <v>9.90317678179026E-2</v>
      </c>
      <c r="AY242">
        <v>0.5</v>
      </c>
      <c r="AZ242">
        <v>1</v>
      </c>
      <c r="BA242">
        <v>1.5</v>
      </c>
      <c r="BB242">
        <v>2</v>
      </c>
      <c r="BC242">
        <v>3</v>
      </c>
      <c r="BD242">
        <v>4</v>
      </c>
      <c r="BE242">
        <v>7</v>
      </c>
      <c r="BF242">
        <v>11</v>
      </c>
      <c r="BG242">
        <v>17.5</v>
      </c>
      <c r="BH242">
        <v>18.600000380000001</v>
      </c>
      <c r="BI242">
        <v>21.200000760000002</v>
      </c>
      <c r="BJ242">
        <v>24.200000760000002</v>
      </c>
      <c r="BK242">
        <v>27.600000380000001</v>
      </c>
      <c r="BL242">
        <v>28.00460052</v>
      </c>
      <c r="BM242">
        <v>32.012699130000001</v>
      </c>
      <c r="BN242">
        <v>35.041999820000001</v>
      </c>
    </row>
    <row r="243" spans="1:70">
      <c r="A243" t="s">
        <v>551</v>
      </c>
      <c r="B243" t="s">
        <v>552</v>
      </c>
      <c r="C243" t="s">
        <v>75</v>
      </c>
      <c r="D243" t="s">
        <v>76</v>
      </c>
      <c r="AX243">
        <v>7.4</v>
      </c>
      <c r="AY243">
        <v>8.3000000000000007</v>
      </c>
      <c r="AZ243">
        <v>9.6</v>
      </c>
      <c r="BA243">
        <v>11.6</v>
      </c>
      <c r="BB243">
        <v>13.4</v>
      </c>
      <c r="BC243">
        <v>15.3</v>
      </c>
      <c r="BD243">
        <v>16.7</v>
      </c>
      <c r="BE243">
        <v>18.600000000000001</v>
      </c>
      <c r="BF243">
        <v>21.1</v>
      </c>
      <c r="BG243">
        <v>24.5</v>
      </c>
      <c r="BH243">
        <v>27.4</v>
      </c>
      <c r="BI243">
        <v>30.6</v>
      </c>
      <c r="BJ243">
        <v>34.6</v>
      </c>
      <c r="BK243">
        <v>37.4</v>
      </c>
      <c r="BL243">
        <v>41.3</v>
      </c>
      <c r="BM243">
        <v>46.2</v>
      </c>
      <c r="BN243">
        <v>50</v>
      </c>
      <c r="BO243">
        <v>53.8</v>
      </c>
      <c r="BP243">
        <v>55.7</v>
      </c>
      <c r="BQ243">
        <v>57.8</v>
      </c>
      <c r="BR243">
        <v>60.2</v>
      </c>
    </row>
    <row r="244" spans="1:70">
      <c r="A244" t="s">
        <v>553</v>
      </c>
      <c r="B244" t="s">
        <v>554</v>
      </c>
      <c r="C244" t="s">
        <v>75</v>
      </c>
      <c r="D244" t="s">
        <v>76</v>
      </c>
      <c r="AI244">
        <v>0</v>
      </c>
      <c r="AN244">
        <v>0.123</v>
      </c>
      <c r="AO244">
        <v>0.16400000000000001</v>
      </c>
      <c r="AP244">
        <v>0.51100000000000001</v>
      </c>
      <c r="AQ244">
        <v>0.76500000000000001</v>
      </c>
      <c r="AR244">
        <v>1.02</v>
      </c>
      <c r="AS244">
        <v>2.4343980443669002</v>
      </c>
      <c r="AT244">
        <v>2.8253718391152498</v>
      </c>
      <c r="AU244">
        <v>2.9072973162638198</v>
      </c>
      <c r="AV244">
        <v>2.98581736750435</v>
      </c>
      <c r="AW244">
        <v>3.9523738945704299</v>
      </c>
      <c r="AX244">
        <v>4.9078001980000003</v>
      </c>
      <c r="AY244">
        <v>5.8538999560000002</v>
      </c>
      <c r="AZ244">
        <v>7.1799001689999997</v>
      </c>
      <c r="BA244">
        <v>8.11076994380395</v>
      </c>
      <c r="BB244">
        <v>10</v>
      </c>
      <c r="BC244">
        <v>16</v>
      </c>
      <c r="BD244">
        <v>25</v>
      </c>
      <c r="BE244">
        <v>30</v>
      </c>
      <c r="BF244">
        <v>32.754001619999997</v>
      </c>
      <c r="BG244">
        <v>35.954399109999997</v>
      </c>
      <c r="BH244">
        <v>38.651298519999997</v>
      </c>
      <c r="BI244">
        <v>39.950000760000002</v>
      </c>
      <c r="BJ244">
        <v>46.200801849999998</v>
      </c>
      <c r="BK244">
        <v>48.807899480000003</v>
      </c>
      <c r="BL244">
        <v>51.562999730000001</v>
      </c>
      <c r="BM244">
        <v>54.473701480000003</v>
      </c>
      <c r="BN244">
        <v>57.548999999999999</v>
      </c>
      <c r="BO244">
        <v>61.60739899</v>
      </c>
      <c r="BP244">
        <v>64.131401060000002</v>
      </c>
      <c r="BQ244">
        <v>67.441703799999999</v>
      </c>
    </row>
    <row r="245" spans="1:70">
      <c r="A245" t="s">
        <v>555</v>
      </c>
      <c r="B245" t="s">
        <v>556</v>
      </c>
      <c r="C245" t="s">
        <v>75</v>
      </c>
      <c r="D245" t="s">
        <v>76</v>
      </c>
      <c r="AX245">
        <v>2.1</v>
      </c>
      <c r="AY245">
        <v>2.6</v>
      </c>
      <c r="AZ245">
        <v>3.7</v>
      </c>
      <c r="BA245">
        <v>4.0999999999999996</v>
      </c>
      <c r="BB245">
        <v>4.9000000000000004</v>
      </c>
      <c r="BC245">
        <v>7.1</v>
      </c>
      <c r="BD245">
        <v>9.4</v>
      </c>
      <c r="BE245">
        <v>10.4</v>
      </c>
      <c r="BF245">
        <v>11.7</v>
      </c>
      <c r="BG245">
        <v>13</v>
      </c>
      <c r="BH245">
        <v>14.7</v>
      </c>
      <c r="BI245">
        <v>16.7</v>
      </c>
      <c r="BJ245">
        <v>18.8</v>
      </c>
      <c r="BK245">
        <v>20.9</v>
      </c>
      <c r="BL245">
        <v>29.7</v>
      </c>
      <c r="BM245">
        <v>42.5</v>
      </c>
      <c r="BN245">
        <v>48</v>
      </c>
      <c r="BO245">
        <v>54.2</v>
      </c>
      <c r="BP245">
        <v>58.3</v>
      </c>
      <c r="BQ245">
        <v>62.8</v>
      </c>
      <c r="BR245">
        <v>67.8</v>
      </c>
    </row>
    <row r="246" spans="1:70">
      <c r="A246" t="s">
        <v>557</v>
      </c>
      <c r="B246" t="s">
        <v>558</v>
      </c>
      <c r="C246" t="s">
        <v>75</v>
      </c>
      <c r="D246" t="s">
        <v>76</v>
      </c>
      <c r="AX246">
        <v>2</v>
      </c>
      <c r="AY246">
        <v>2.5</v>
      </c>
      <c r="AZ246">
        <v>3.4</v>
      </c>
      <c r="BA246">
        <v>3.8</v>
      </c>
      <c r="BB246">
        <v>4.5</v>
      </c>
      <c r="BC246">
        <v>6.1</v>
      </c>
      <c r="BD246">
        <v>7.6</v>
      </c>
      <c r="BE246">
        <v>9.1999999999999993</v>
      </c>
      <c r="BF246">
        <v>11.1</v>
      </c>
      <c r="BG246">
        <v>13.3</v>
      </c>
      <c r="BH246">
        <v>16.100000000000001</v>
      </c>
      <c r="BI246">
        <v>18.2</v>
      </c>
      <c r="BJ246">
        <v>19.899999999999999</v>
      </c>
      <c r="BK246">
        <v>22.1</v>
      </c>
      <c r="BL246">
        <v>24.4</v>
      </c>
      <c r="BM246">
        <v>26.8</v>
      </c>
      <c r="BN246">
        <v>28.9</v>
      </c>
      <c r="BO246">
        <v>31.1</v>
      </c>
      <c r="BP246">
        <v>32.1</v>
      </c>
      <c r="BQ246">
        <v>33.299999999999997</v>
      </c>
      <c r="BR246">
        <v>35.200000000000003</v>
      </c>
    </row>
    <row r="247" spans="1:70">
      <c r="A247" t="s">
        <v>559</v>
      </c>
      <c r="B247" t="s">
        <v>560</v>
      </c>
      <c r="C247" t="s">
        <v>75</v>
      </c>
      <c r="D247" t="s">
        <v>76</v>
      </c>
      <c r="AI247">
        <v>0</v>
      </c>
      <c r="AN247">
        <v>0.158</v>
      </c>
      <c r="AO247">
        <v>0.39300000000000002</v>
      </c>
      <c r="AP247">
        <v>1.17</v>
      </c>
      <c r="AQ247">
        <v>2.72</v>
      </c>
      <c r="AR247">
        <v>5.81</v>
      </c>
      <c r="AS247">
        <v>7.72141147401745</v>
      </c>
      <c r="AT247">
        <v>15.384627218944001</v>
      </c>
      <c r="AU247">
        <v>21.998675480444899</v>
      </c>
      <c r="AV247">
        <v>25.971764109160901</v>
      </c>
      <c r="AW247">
        <v>27.0242700782714</v>
      </c>
      <c r="AX247">
        <v>28.976699830000001</v>
      </c>
      <c r="AY247">
        <v>30.003700259999999</v>
      </c>
      <c r="AZ247">
        <v>32.299999999999997</v>
      </c>
      <c r="BA247">
        <v>34.799999999999997</v>
      </c>
      <c r="BB247">
        <v>44.3</v>
      </c>
      <c r="BC247">
        <v>48.5</v>
      </c>
      <c r="BD247">
        <v>55.2</v>
      </c>
      <c r="BE247">
        <v>57.5</v>
      </c>
      <c r="BF247">
        <v>59.900001529999997</v>
      </c>
      <c r="BG247">
        <v>62.400001529999997</v>
      </c>
      <c r="BH247">
        <v>65.099998470000003</v>
      </c>
      <c r="BI247">
        <v>67.800003050000001</v>
      </c>
      <c r="BJ247">
        <v>70.599998470000003</v>
      </c>
      <c r="BK247">
        <v>72.760299680000003</v>
      </c>
      <c r="BL247">
        <v>74.986701969999999</v>
      </c>
      <c r="BM247">
        <v>77.281303410000007</v>
      </c>
      <c r="BN247">
        <v>84.36576986</v>
      </c>
      <c r="BO247">
        <v>81.697601320000004</v>
      </c>
      <c r="BP247">
        <v>81.968101500000003</v>
      </c>
      <c r="BQ247">
        <v>82.159896849999996</v>
      </c>
    </row>
    <row r="248" spans="1:70">
      <c r="A248" t="s">
        <v>561</v>
      </c>
      <c r="B248" t="s">
        <v>562</v>
      </c>
      <c r="C248" t="s">
        <v>75</v>
      </c>
      <c r="D248" t="s">
        <v>76</v>
      </c>
      <c r="AI248">
        <v>0</v>
      </c>
      <c r="AM248">
        <v>7.3800000000000003E-3</v>
      </c>
      <c r="AN248">
        <v>1.12E-2</v>
      </c>
      <c r="AO248">
        <v>2.76E-2</v>
      </c>
      <c r="AP248">
        <v>4.3700000000000003E-2</v>
      </c>
      <c r="AQ248">
        <v>0.108</v>
      </c>
      <c r="AR248">
        <v>1.6</v>
      </c>
      <c r="AS248">
        <v>2.7507402929813498</v>
      </c>
      <c r="AT248">
        <v>4.2979660347468496</v>
      </c>
      <c r="AU248">
        <v>5.2528872954842099</v>
      </c>
      <c r="AV248">
        <v>6.4908457953279699</v>
      </c>
      <c r="AW248">
        <v>8.52881775162591</v>
      </c>
      <c r="AX248">
        <v>9.6550998690000007</v>
      </c>
      <c r="AY248">
        <v>12.986399649999999</v>
      </c>
      <c r="AZ248">
        <v>17.100000000000001</v>
      </c>
      <c r="BA248">
        <v>27.53</v>
      </c>
      <c r="BB248">
        <v>34.07</v>
      </c>
      <c r="BC248">
        <v>36.799999999999997</v>
      </c>
      <c r="BD248">
        <v>39.1</v>
      </c>
      <c r="BE248">
        <v>41.441600800000003</v>
      </c>
      <c r="BF248">
        <v>43.799999239999998</v>
      </c>
      <c r="BG248">
        <v>46.159999849999998</v>
      </c>
      <c r="BH248">
        <v>46.499994343577598</v>
      </c>
      <c r="BI248">
        <v>49.599994841575601</v>
      </c>
      <c r="BJ248">
        <v>55.500155063367103</v>
      </c>
      <c r="BK248">
        <v>64.190810232738698</v>
      </c>
      <c r="BL248">
        <v>66.6999983024144</v>
      </c>
      <c r="BM248">
        <v>68.556396480000004</v>
      </c>
      <c r="BN248">
        <v>68.315522259999995</v>
      </c>
      <c r="BQ248">
        <v>76.5</v>
      </c>
    </row>
    <row r="249" spans="1:70">
      <c r="A249" t="s">
        <v>563</v>
      </c>
      <c r="B249" t="s">
        <v>564</v>
      </c>
      <c r="C249" t="s">
        <v>75</v>
      </c>
      <c r="D249" t="s">
        <v>76</v>
      </c>
      <c r="AI249">
        <v>0</v>
      </c>
      <c r="AL249">
        <v>8.4599999999999988E-3</v>
      </c>
      <c r="AM249">
        <v>4.99E-2</v>
      </c>
      <c r="AN249">
        <v>8.1699999999999995E-2</v>
      </c>
      <c r="AO249">
        <v>0.193</v>
      </c>
      <c r="AP249">
        <v>0.47400000000000003</v>
      </c>
      <c r="AQ249">
        <v>0.69899999999999995</v>
      </c>
      <c r="AR249">
        <v>2.29</v>
      </c>
      <c r="AS249">
        <v>3.7616850350750002</v>
      </c>
      <c r="AT249">
        <v>5.1894814607850597</v>
      </c>
      <c r="AU249">
        <v>11.38</v>
      </c>
      <c r="AV249">
        <v>12.33</v>
      </c>
      <c r="AW249">
        <v>14.58</v>
      </c>
      <c r="AX249">
        <v>15.46</v>
      </c>
      <c r="AY249">
        <v>18.239999999999998</v>
      </c>
      <c r="AZ249">
        <v>28.63</v>
      </c>
      <c r="BA249">
        <v>34.369999999999997</v>
      </c>
      <c r="BB249">
        <v>36.4</v>
      </c>
      <c r="BC249">
        <v>39.82</v>
      </c>
      <c r="BD249">
        <v>43.065710430925002</v>
      </c>
      <c r="BE249">
        <v>45.13</v>
      </c>
      <c r="BF249">
        <v>46.25</v>
      </c>
      <c r="BG249">
        <v>51.037366552164499</v>
      </c>
      <c r="BH249">
        <v>53.744979142358297</v>
      </c>
      <c r="BI249">
        <v>58.347734014568502</v>
      </c>
      <c r="BJ249">
        <v>64.684617683537098</v>
      </c>
      <c r="BK249">
        <v>71.042760843380904</v>
      </c>
      <c r="BL249">
        <v>73.976702287151099</v>
      </c>
      <c r="BM249">
        <v>77.669560500000003</v>
      </c>
      <c r="BN249">
        <v>81.408437449999994</v>
      </c>
      <c r="BO249">
        <v>83.437165759999999</v>
      </c>
      <c r="BP249">
        <v>85.960741549999995</v>
      </c>
      <c r="BQ249">
        <v>87.307876699999994</v>
      </c>
      <c r="BR249">
        <v>89.770240029999997</v>
      </c>
    </row>
    <row r="250" spans="1:70">
      <c r="A250" t="s">
        <v>565</v>
      </c>
      <c r="B250" t="s">
        <v>566</v>
      </c>
      <c r="C250" t="s">
        <v>75</v>
      </c>
      <c r="D250" t="s">
        <v>76</v>
      </c>
      <c r="AI250">
        <v>0</v>
      </c>
      <c r="AS250">
        <v>5.2416395848621402</v>
      </c>
      <c r="AT250">
        <v>5.7</v>
      </c>
      <c r="AU250">
        <v>6.3</v>
      </c>
      <c r="AV250">
        <v>6.9</v>
      </c>
      <c r="AW250">
        <v>7.6</v>
      </c>
      <c r="AX250">
        <v>8.3000001910000005</v>
      </c>
      <c r="AY250">
        <v>9.1000003809999992</v>
      </c>
      <c r="AZ250">
        <v>10</v>
      </c>
      <c r="BA250">
        <v>11.19999981</v>
      </c>
      <c r="BB250">
        <v>12.80000019</v>
      </c>
      <c r="BC250">
        <v>14.600000380000001</v>
      </c>
      <c r="BD250">
        <v>16.5</v>
      </c>
      <c r="BE250">
        <v>18.700000760000002</v>
      </c>
      <c r="BF250">
        <v>21.200000760000002</v>
      </c>
      <c r="BG250">
        <v>24.100000380000001</v>
      </c>
      <c r="BH250">
        <v>27.299999240000002</v>
      </c>
      <c r="BI250">
        <v>31</v>
      </c>
      <c r="BJ250">
        <v>35.200000760000002</v>
      </c>
    </row>
    <row r="251" spans="1:70">
      <c r="A251" t="s">
        <v>567</v>
      </c>
      <c r="B251" t="s">
        <v>568</v>
      </c>
      <c r="C251" t="s">
        <v>75</v>
      </c>
      <c r="D251" t="s">
        <v>76</v>
      </c>
      <c r="AI251">
        <v>0</v>
      </c>
      <c r="AO251">
        <v>1.6200000000000001E-3</v>
      </c>
      <c r="AP251">
        <v>7.899999999999999E-3</v>
      </c>
      <c r="AQ251">
        <v>9.2399999999999999E-3</v>
      </c>
      <c r="AR251">
        <v>7.51E-2</v>
      </c>
      <c r="AS251">
        <v>0.11719444010825</v>
      </c>
      <c r="AT251">
        <v>0.171300350668948</v>
      </c>
      <c r="AU251">
        <v>0.222484413923909</v>
      </c>
      <c r="AV251">
        <v>0.67696285651030297</v>
      </c>
      <c r="AW251">
        <v>0.87757497099258996</v>
      </c>
      <c r="AX251">
        <v>1.1000000240000001</v>
      </c>
      <c r="AY251">
        <v>1.2999999520000001</v>
      </c>
      <c r="AZ251">
        <v>1.6</v>
      </c>
      <c r="BA251">
        <v>1.8999999759999999</v>
      </c>
      <c r="BB251">
        <v>2.4000000950000002</v>
      </c>
      <c r="BC251">
        <v>2.9000000950000002</v>
      </c>
      <c r="BD251">
        <v>3.2000000480000002</v>
      </c>
      <c r="BE251">
        <v>3.9500000480000002</v>
      </c>
      <c r="BF251">
        <v>4.4000000950000002</v>
      </c>
      <c r="BG251">
        <v>7</v>
      </c>
      <c r="BH251">
        <v>10</v>
      </c>
      <c r="BI251">
        <v>13.504232846891901</v>
      </c>
      <c r="BJ251">
        <v>14.46339989</v>
      </c>
      <c r="BK251">
        <v>15.490699770000001</v>
      </c>
      <c r="BL251">
        <v>16.590900420000001</v>
      </c>
      <c r="BM251">
        <v>19.481399540000002</v>
      </c>
      <c r="BN251">
        <v>22.875400540000001</v>
      </c>
      <c r="BO251">
        <v>26.860599520000001</v>
      </c>
      <c r="BP251">
        <v>28.43190002</v>
      </c>
      <c r="BQ251">
        <v>31.16209984</v>
      </c>
    </row>
    <row r="252" spans="1:70">
      <c r="A252" t="s">
        <v>569</v>
      </c>
      <c r="B252" t="s">
        <v>570</v>
      </c>
      <c r="C252" t="s">
        <v>75</v>
      </c>
      <c r="D252" t="s">
        <v>76</v>
      </c>
      <c r="AI252">
        <v>0</v>
      </c>
      <c r="AN252">
        <v>2.8600000000000001E-3</v>
      </c>
      <c r="AO252">
        <v>4.6300000000000004E-3</v>
      </c>
      <c r="AP252">
        <v>1.03E-2</v>
      </c>
      <c r="AQ252">
        <v>6.5300000000000011E-2</v>
      </c>
      <c r="AR252">
        <v>0.106</v>
      </c>
      <c r="AS252">
        <v>0.163714063074854</v>
      </c>
      <c r="AT252">
        <v>0.237945087191408</v>
      </c>
      <c r="AU252">
        <v>0.384093504951945</v>
      </c>
      <c r="AV252">
        <v>0.46484984011396802</v>
      </c>
      <c r="AW252">
        <v>0.71997067991403096</v>
      </c>
      <c r="AX252">
        <v>1.742200017</v>
      </c>
      <c r="AY252">
        <v>2.5294001100000001</v>
      </c>
      <c r="AZ252">
        <v>3.6719653507474401</v>
      </c>
      <c r="BA252">
        <v>3.880000114</v>
      </c>
      <c r="BB252">
        <v>4.0999999049999998</v>
      </c>
      <c r="BC252">
        <v>4.3000001909999996</v>
      </c>
      <c r="BD252">
        <v>4.5999999049999998</v>
      </c>
      <c r="BE252">
        <v>4.8000001909999996</v>
      </c>
      <c r="BF252">
        <v>5.0999999049999998</v>
      </c>
      <c r="BG252">
        <v>5.4000000950000002</v>
      </c>
      <c r="BH252">
        <v>5.6999998090000004</v>
      </c>
      <c r="BI252">
        <v>5.9</v>
      </c>
      <c r="BJ252">
        <v>7.4179000850000003</v>
      </c>
      <c r="BK252">
        <v>9.3262996670000007</v>
      </c>
      <c r="BL252">
        <v>11.72579956</v>
      </c>
      <c r="BM252">
        <v>7.4</v>
      </c>
      <c r="BN252">
        <v>10</v>
      </c>
      <c r="BO252">
        <v>9.6368999479999999</v>
      </c>
      <c r="BP252">
        <v>9.2869997019999992</v>
      </c>
      <c r="BQ252">
        <v>8.9498310609999994</v>
      </c>
    </row>
    <row r="253" spans="1:70">
      <c r="A253" t="s">
        <v>571</v>
      </c>
      <c r="B253" t="s">
        <v>572</v>
      </c>
      <c r="C253" t="s">
        <v>75</v>
      </c>
      <c r="D253" t="s">
        <v>76</v>
      </c>
      <c r="AI253">
        <v>0</v>
      </c>
      <c r="AL253">
        <v>7.7700000000000002E-4</v>
      </c>
      <c r="AM253">
        <v>1.3599999999999999E-2</v>
      </c>
      <c r="AN253">
        <v>4.3099999999999999E-2</v>
      </c>
      <c r="AO253">
        <v>9.8599999999999993E-2</v>
      </c>
      <c r="AP253">
        <v>0.19900000000000001</v>
      </c>
      <c r="AQ253">
        <v>0.30099999999999999</v>
      </c>
      <c r="AR253">
        <v>0.40500000000000003</v>
      </c>
      <c r="AS253">
        <v>0.71618376203104295</v>
      </c>
      <c r="AT253">
        <v>1.2387595474811399</v>
      </c>
      <c r="AU253">
        <v>1.87388511643427</v>
      </c>
      <c r="AV253">
        <v>3.1481275881543902</v>
      </c>
      <c r="AW253">
        <v>3.4894778812677001</v>
      </c>
      <c r="AX253">
        <v>3.749799967</v>
      </c>
      <c r="AY253">
        <v>4.5061245635737901</v>
      </c>
      <c r="AZ253">
        <v>6.55</v>
      </c>
      <c r="BA253">
        <v>11</v>
      </c>
      <c r="BB253">
        <v>17.899999999999999</v>
      </c>
      <c r="BC253">
        <v>23.3</v>
      </c>
      <c r="BD253">
        <v>28.708262840071299</v>
      </c>
      <c r="BE253">
        <v>35.270000000000003</v>
      </c>
      <c r="BF253">
        <v>40.954128996999998</v>
      </c>
      <c r="BG253">
        <v>46.235975457165097</v>
      </c>
      <c r="BH253">
        <v>48.884643681321798</v>
      </c>
      <c r="BI253">
        <v>53.000969598188398</v>
      </c>
      <c r="BJ253">
        <v>58.8894794459775</v>
      </c>
      <c r="BK253">
        <v>62.553155393386902</v>
      </c>
      <c r="BL253">
        <v>70.124844299526302</v>
      </c>
      <c r="BM253">
        <v>75.037909119999995</v>
      </c>
      <c r="BN253">
        <v>79.218293529999997</v>
      </c>
      <c r="BO253">
        <v>80.474296570000007</v>
      </c>
      <c r="BP253">
        <v>81.580596920000005</v>
      </c>
      <c r="BQ253">
        <v>82.474899289999996</v>
      </c>
    </row>
    <row r="254" spans="1:70">
      <c r="A254" t="s">
        <v>573</v>
      </c>
      <c r="B254" t="s">
        <v>574</v>
      </c>
      <c r="C254" t="s">
        <v>75</v>
      </c>
      <c r="D254" t="s">
        <v>76</v>
      </c>
      <c r="AX254">
        <v>10.199999999999999</v>
      </c>
      <c r="AY254">
        <v>12.5</v>
      </c>
      <c r="AZ254">
        <v>16.600000000000001</v>
      </c>
      <c r="BA254">
        <v>21.2</v>
      </c>
      <c r="BB254">
        <v>25.8</v>
      </c>
      <c r="BC254">
        <v>30.6</v>
      </c>
      <c r="BD254">
        <v>34.5</v>
      </c>
      <c r="BE254">
        <v>38.299999999999997</v>
      </c>
      <c r="BF254">
        <v>41.4</v>
      </c>
      <c r="BG254">
        <v>44.3</v>
      </c>
      <c r="BH254">
        <v>47.9</v>
      </c>
      <c r="BI254">
        <v>53.3</v>
      </c>
      <c r="BJ254">
        <v>57.7</v>
      </c>
      <c r="BK254">
        <v>62.2</v>
      </c>
      <c r="BL254">
        <v>67.5</v>
      </c>
      <c r="BM254">
        <v>74.900000000000006</v>
      </c>
      <c r="BN254">
        <v>79.400000000000006</v>
      </c>
      <c r="BO254">
        <v>82.7</v>
      </c>
      <c r="BP254">
        <v>85.3</v>
      </c>
      <c r="BQ254">
        <v>86.9</v>
      </c>
      <c r="BR254">
        <v>88.8</v>
      </c>
    </row>
    <row r="255" spans="1:70">
      <c r="A255" t="s">
        <v>575</v>
      </c>
      <c r="B255" t="s">
        <v>576</v>
      </c>
      <c r="C255" t="s">
        <v>75</v>
      </c>
      <c r="D255" t="s">
        <v>76</v>
      </c>
      <c r="AI255">
        <v>0</v>
      </c>
      <c r="AM255">
        <v>6.25E-2</v>
      </c>
      <c r="AN255">
        <v>0.31</v>
      </c>
      <c r="AO255">
        <v>1.85</v>
      </c>
      <c r="AP255">
        <v>3.36</v>
      </c>
      <c r="AQ255">
        <v>6.99</v>
      </c>
      <c r="AR255">
        <v>9.9700000000000006</v>
      </c>
      <c r="AS255">
        <v>10.5390577480141</v>
      </c>
      <c r="AT255">
        <v>11.1214376832783</v>
      </c>
      <c r="AU255">
        <v>11.4194701966853</v>
      </c>
      <c r="AV255">
        <v>15.937136715975599</v>
      </c>
      <c r="AW255">
        <v>17.0630983403661</v>
      </c>
      <c r="AX255">
        <v>20.088189557930502</v>
      </c>
      <c r="AY255">
        <v>29.399999619999999</v>
      </c>
      <c r="AZ255">
        <v>34</v>
      </c>
      <c r="BA255">
        <v>39.299999999999997</v>
      </c>
      <c r="BB255">
        <v>41.8</v>
      </c>
      <c r="BC255">
        <v>46.4</v>
      </c>
      <c r="BD255">
        <v>51.404661056361597</v>
      </c>
      <c r="BE255">
        <v>54.453768680746002</v>
      </c>
      <c r="BF255">
        <v>57.69</v>
      </c>
      <c r="BG255">
        <v>61.462495168440498</v>
      </c>
      <c r="BH255">
        <v>64.570787097162395</v>
      </c>
      <c r="BI255">
        <v>66.400001529999997</v>
      </c>
      <c r="BJ255">
        <v>70.322354399469802</v>
      </c>
      <c r="BK255">
        <v>80.726842879585405</v>
      </c>
      <c r="BL255">
        <v>83.351533766754798</v>
      </c>
      <c r="BM255">
        <v>85.471000669999995</v>
      </c>
      <c r="BN255">
        <v>87.644401549999998</v>
      </c>
      <c r="BO255">
        <v>89.873043139999993</v>
      </c>
      <c r="BP255">
        <v>90.925903320000003</v>
      </c>
      <c r="BQ255">
        <v>91.991090069999998</v>
      </c>
    </row>
    <row r="256" spans="1:70">
      <c r="A256" t="s">
        <v>577</v>
      </c>
      <c r="B256" t="s">
        <v>578</v>
      </c>
      <c r="C256" t="s">
        <v>75</v>
      </c>
      <c r="D256" t="s">
        <v>76</v>
      </c>
      <c r="AI256">
        <v>0.78500000000000003</v>
      </c>
      <c r="AJ256">
        <v>1.1599999999999999</v>
      </c>
      <c r="AK256">
        <v>1.72</v>
      </c>
      <c r="AL256">
        <v>2.27</v>
      </c>
      <c r="AM256">
        <v>4.8600000000000003</v>
      </c>
      <c r="AN256">
        <v>9.24</v>
      </c>
      <c r="AO256">
        <v>16.399999999999999</v>
      </c>
      <c r="AP256">
        <v>21.6</v>
      </c>
      <c r="AQ256">
        <v>30.1</v>
      </c>
      <c r="AR256">
        <v>35.799999999999997</v>
      </c>
      <c r="AS256">
        <v>43.079162637520099</v>
      </c>
      <c r="AT256">
        <v>49.080831589695102</v>
      </c>
      <c r="AU256">
        <v>58.785403883695203</v>
      </c>
      <c r="AV256">
        <v>61.6971171244207</v>
      </c>
      <c r="AW256">
        <v>64.758256475989597</v>
      </c>
      <c r="AX256">
        <v>67.968101500000003</v>
      </c>
      <c r="AY256">
        <v>68.931198120000005</v>
      </c>
      <c r="AZ256">
        <v>75</v>
      </c>
      <c r="BA256">
        <v>74</v>
      </c>
      <c r="BB256">
        <v>71</v>
      </c>
      <c r="BC256">
        <v>71.69</v>
      </c>
      <c r="BD256">
        <v>69.729460761926802</v>
      </c>
      <c r="BE256">
        <v>74.7</v>
      </c>
      <c r="BF256">
        <v>71.400000000000006</v>
      </c>
      <c r="BG256">
        <v>73</v>
      </c>
      <c r="BH256">
        <v>74.554202446276093</v>
      </c>
      <c r="BI256">
        <v>85.544421288722205</v>
      </c>
      <c r="BJ256">
        <v>87.274889168765696</v>
      </c>
      <c r="BK256">
        <v>88.498903165152001</v>
      </c>
      <c r="BL256">
        <v>89.430284857571195</v>
      </c>
      <c r="BM256">
        <v>90.344703670000001</v>
      </c>
      <c r="BN256">
        <v>91.268402100000003</v>
      </c>
      <c r="BO256">
        <v>92.728500370000006</v>
      </c>
      <c r="BP256">
        <v>93.525596620000002</v>
      </c>
      <c r="BQ256">
        <v>94.693801879999995</v>
      </c>
    </row>
    <row r="257" spans="1:70">
      <c r="A257" t="s">
        <v>579</v>
      </c>
      <c r="B257" t="s">
        <v>580</v>
      </c>
      <c r="C257" t="s">
        <v>75</v>
      </c>
      <c r="D257" t="s">
        <v>76</v>
      </c>
      <c r="AI257">
        <v>0</v>
      </c>
      <c r="AN257">
        <v>1.5299999999999999E-3</v>
      </c>
      <c r="AO257">
        <v>4.2899999999999995E-3</v>
      </c>
      <c r="AP257">
        <v>1.0500000000000001E-2</v>
      </c>
      <c r="AQ257">
        <v>2.0799999999999999E-2</v>
      </c>
      <c r="AR257">
        <v>3.0699999999999998E-2</v>
      </c>
      <c r="AS257">
        <v>0.48434730769494699</v>
      </c>
      <c r="AT257">
        <v>0.59756799387580495</v>
      </c>
      <c r="AU257">
        <v>1.08193974248733</v>
      </c>
      <c r="AV257">
        <v>1.9125951778499699</v>
      </c>
      <c r="AW257">
        <v>2.59372542084924</v>
      </c>
      <c r="AX257">
        <v>3.3435098882595198</v>
      </c>
      <c r="AY257">
        <v>6.38832196706805</v>
      </c>
      <c r="AZ257">
        <v>7.4906046813862899</v>
      </c>
      <c r="BA257">
        <v>9.0801145234500993</v>
      </c>
      <c r="BB257">
        <v>11.9</v>
      </c>
      <c r="BC257">
        <v>15.899999620000001</v>
      </c>
      <c r="BD257">
        <v>18.600000000000001</v>
      </c>
      <c r="BE257">
        <v>23.600000380000001</v>
      </c>
      <c r="BF257">
        <v>26.799999240000002</v>
      </c>
      <c r="BG257">
        <v>35.5</v>
      </c>
      <c r="BH257">
        <v>42.799999239999998</v>
      </c>
      <c r="BI257">
        <v>46.791301730000001</v>
      </c>
      <c r="BJ257">
        <v>48.6999988524556</v>
      </c>
      <c r="BK257">
        <v>55.2000006732722</v>
      </c>
      <c r="BL257">
        <v>70.399998648145797</v>
      </c>
      <c r="BM257">
        <v>71.099998240000005</v>
      </c>
      <c r="BN257">
        <v>76.590430139999995</v>
      </c>
      <c r="BO257">
        <v>83.900000120000001</v>
      </c>
      <c r="BP257">
        <v>89.013610470000003</v>
      </c>
      <c r="BQ257">
        <v>89.505500789999999</v>
      </c>
    </row>
    <row r="258" spans="1:70">
      <c r="A258" t="s">
        <v>581</v>
      </c>
      <c r="B258" t="s">
        <v>582</v>
      </c>
      <c r="C258" t="s">
        <v>75</v>
      </c>
      <c r="D258" t="s">
        <v>76</v>
      </c>
      <c r="AI258">
        <v>0</v>
      </c>
      <c r="AN258">
        <v>0.129</v>
      </c>
      <c r="AO258">
        <v>0.48299999999999998</v>
      </c>
      <c r="AP258">
        <v>0.92599999999999993</v>
      </c>
      <c r="AQ258">
        <v>1.85</v>
      </c>
      <c r="AR258">
        <v>2.78</v>
      </c>
      <c r="AS258">
        <v>3.2450374106455802</v>
      </c>
      <c r="AT258">
        <v>5.0948097783294601</v>
      </c>
      <c r="AU258">
        <v>5.5495948795737897</v>
      </c>
      <c r="AV258">
        <v>6.4622741665974299</v>
      </c>
      <c r="AW258">
        <v>7.3711658420174899</v>
      </c>
      <c r="AX258">
        <v>9.1982780823429895</v>
      </c>
      <c r="AY258">
        <v>12</v>
      </c>
      <c r="AZ258">
        <v>16</v>
      </c>
      <c r="BA258">
        <v>21</v>
      </c>
      <c r="BB258">
        <v>31</v>
      </c>
      <c r="BC258">
        <v>33.700000760000002</v>
      </c>
      <c r="BD258">
        <v>36.700000760000002</v>
      </c>
      <c r="BE258">
        <v>40</v>
      </c>
      <c r="BF258">
        <v>43.5</v>
      </c>
      <c r="BG258">
        <v>47.4</v>
      </c>
      <c r="BH258">
        <v>49.400001529999997</v>
      </c>
      <c r="BI258">
        <v>51.5</v>
      </c>
      <c r="BJ258">
        <v>53.700000760000002</v>
      </c>
      <c r="BK258">
        <v>56</v>
      </c>
      <c r="BL258">
        <v>59.576301569999998</v>
      </c>
      <c r="BM258">
        <v>63.381000520000001</v>
      </c>
      <c r="BN258">
        <v>68.833396910000005</v>
      </c>
      <c r="BO258">
        <v>74.754798890000004</v>
      </c>
      <c r="BP258">
        <v>75.536796570000007</v>
      </c>
      <c r="BQ258">
        <v>76.190101619999993</v>
      </c>
    </row>
    <row r="259" spans="1:70">
      <c r="A259" t="s">
        <v>583</v>
      </c>
      <c r="B259" t="s">
        <v>584</v>
      </c>
      <c r="C259" t="s">
        <v>75</v>
      </c>
      <c r="D259" t="s">
        <v>76</v>
      </c>
      <c r="AI259">
        <v>0</v>
      </c>
      <c r="AK259">
        <v>1.21E-2</v>
      </c>
      <c r="AL259">
        <v>4.1599999999999998E-2</v>
      </c>
      <c r="AM259">
        <v>5.5500000000000008E-2</v>
      </c>
      <c r="AN259">
        <v>0.122</v>
      </c>
      <c r="AO259">
        <v>0.248</v>
      </c>
      <c r="AP259">
        <v>0.39100000000000001</v>
      </c>
      <c r="AQ259">
        <v>1.38</v>
      </c>
      <c r="AR259">
        <v>2.84</v>
      </c>
      <c r="AS259">
        <v>3.3595974645036</v>
      </c>
      <c r="AT259">
        <v>4.6360009477867701</v>
      </c>
      <c r="AU259">
        <v>4.9104463272032497</v>
      </c>
      <c r="AV259">
        <v>7.4999634652240701</v>
      </c>
      <c r="AW259">
        <v>8.4044695924121502</v>
      </c>
      <c r="AX259">
        <v>12.5529979098299</v>
      </c>
      <c r="AY259">
        <v>15.224711477178699</v>
      </c>
      <c r="AZ259">
        <v>20.83</v>
      </c>
      <c r="BA259">
        <v>25.88</v>
      </c>
      <c r="BB259">
        <v>32.700000000000003</v>
      </c>
      <c r="BC259">
        <v>37.369999999999997</v>
      </c>
      <c r="BD259">
        <v>40.22</v>
      </c>
      <c r="BE259">
        <v>49.050083072986098</v>
      </c>
      <c r="BF259">
        <v>54.900001529999997</v>
      </c>
      <c r="BG259">
        <v>57</v>
      </c>
      <c r="BH259">
        <v>58</v>
      </c>
      <c r="BI259">
        <v>60</v>
      </c>
      <c r="BL259">
        <v>49.050098419999998</v>
      </c>
      <c r="BM259">
        <v>72.441101070000002</v>
      </c>
      <c r="BN259">
        <v>74.112197879999997</v>
      </c>
      <c r="BO259">
        <v>75.821800229999994</v>
      </c>
      <c r="BP259">
        <v>76.331901549999998</v>
      </c>
      <c r="BQ259">
        <v>76.678901670000002</v>
      </c>
    </row>
    <row r="260" spans="1:70">
      <c r="A260" t="s">
        <v>585</v>
      </c>
      <c r="B260" t="s">
        <v>586</v>
      </c>
      <c r="C260" t="s">
        <v>75</v>
      </c>
      <c r="D260" t="s">
        <v>76</v>
      </c>
      <c r="AI260">
        <v>0</v>
      </c>
      <c r="AU260">
        <v>18.885741265344699</v>
      </c>
      <c r="BB260">
        <v>36</v>
      </c>
      <c r="BC260">
        <v>37</v>
      </c>
      <c r="BD260">
        <v>37.4</v>
      </c>
      <c r="BE260">
        <v>37.6</v>
      </c>
      <c r="BI260">
        <v>77.701429679707402</v>
      </c>
      <c r="BJ260">
        <v>77.704268292682897</v>
      </c>
    </row>
    <row r="261" spans="1:70">
      <c r="A261" t="s">
        <v>587</v>
      </c>
      <c r="B261" t="s">
        <v>588</v>
      </c>
      <c r="C261" t="s">
        <v>75</v>
      </c>
      <c r="D261" t="s">
        <v>76</v>
      </c>
      <c r="AI261">
        <v>0</v>
      </c>
      <c r="AM261">
        <v>0.94099999999999995</v>
      </c>
      <c r="AN261">
        <v>2.8</v>
      </c>
      <c r="AO261">
        <v>4.6500000000000004</v>
      </c>
      <c r="AP261">
        <v>6.95</v>
      </c>
      <c r="AQ261">
        <v>9.25</v>
      </c>
      <c r="AR261">
        <v>11.1</v>
      </c>
      <c r="AS261">
        <v>13.815080541919601</v>
      </c>
      <c r="AT261">
        <v>18.3757660397468</v>
      </c>
      <c r="AU261">
        <v>27.494432377443601</v>
      </c>
      <c r="AV261">
        <v>27.429072988763199</v>
      </c>
      <c r="AW261">
        <v>27.377008788019801</v>
      </c>
      <c r="AX261">
        <v>27.344319673326499</v>
      </c>
      <c r="AY261">
        <v>27.332610537632501</v>
      </c>
      <c r="AZ261">
        <v>27.3393358364014</v>
      </c>
      <c r="BA261">
        <v>27.361777421061301</v>
      </c>
      <c r="BB261">
        <v>27.396509684666199</v>
      </c>
      <c r="BC261">
        <v>31.22</v>
      </c>
      <c r="BD261">
        <v>35.6</v>
      </c>
      <c r="BE261">
        <v>40.547899999999998</v>
      </c>
      <c r="BF261">
        <v>45.3</v>
      </c>
      <c r="BG261">
        <v>50.07</v>
      </c>
      <c r="BH261">
        <v>54.839137295999997</v>
      </c>
      <c r="BI261">
        <v>59.608315798950002</v>
      </c>
      <c r="BJ261">
        <v>64.377494298008699</v>
      </c>
    </row>
    <row r="262" spans="1:70">
      <c r="A262" t="s">
        <v>589</v>
      </c>
      <c r="B262" t="s">
        <v>590</v>
      </c>
      <c r="C262" t="s">
        <v>75</v>
      </c>
      <c r="D262" t="s">
        <v>76</v>
      </c>
      <c r="AI262">
        <v>0</v>
      </c>
      <c r="AO262">
        <v>1.35E-4</v>
      </c>
      <c r="AP262">
        <v>3.98E-3</v>
      </c>
      <c r="AQ262">
        <v>1.3100000000000001E-2</v>
      </c>
      <c r="AR262">
        <v>0.129</v>
      </c>
      <c r="AS262">
        <v>0.25424827575493403</v>
      </c>
      <c r="AT262">
        <v>1.26565123612317</v>
      </c>
      <c r="AU262">
        <v>1.8549992359258101</v>
      </c>
      <c r="AV262">
        <v>3.7802808137064101</v>
      </c>
      <c r="AW262">
        <v>7.6424085284236298</v>
      </c>
      <c r="AX262">
        <v>12.739929290703101</v>
      </c>
      <c r="AY262">
        <v>17.254561718666199</v>
      </c>
      <c r="AZ262">
        <v>20.755444767975298</v>
      </c>
      <c r="BA262">
        <v>23.92</v>
      </c>
      <c r="BB262">
        <v>26.55</v>
      </c>
      <c r="BC262">
        <v>30.65</v>
      </c>
      <c r="BD262">
        <v>35.07</v>
      </c>
      <c r="BE262">
        <v>36.799999239999998</v>
      </c>
      <c r="BF262">
        <v>38.5</v>
      </c>
      <c r="BG262">
        <v>41</v>
      </c>
      <c r="BH262">
        <v>45</v>
      </c>
      <c r="BI262">
        <v>53</v>
      </c>
      <c r="BJ262">
        <v>58.140000003629702</v>
      </c>
      <c r="BK262">
        <v>69.847928683796496</v>
      </c>
      <c r="BL262">
        <v>68.661580205733799</v>
      </c>
      <c r="BM262">
        <v>70.300000120000007</v>
      </c>
      <c r="BN262">
        <v>74.209999850000003</v>
      </c>
      <c r="BO262">
        <v>78.589999180000007</v>
      </c>
      <c r="BP262">
        <v>78.08</v>
      </c>
      <c r="BQ262">
        <v>84.15</v>
      </c>
    </row>
    <row r="263" spans="1:70">
      <c r="A263" t="s">
        <v>591</v>
      </c>
      <c r="B263" t="s">
        <v>592</v>
      </c>
      <c r="C263" t="s">
        <v>75</v>
      </c>
      <c r="D263" t="s">
        <v>76</v>
      </c>
      <c r="AI263">
        <v>0</v>
      </c>
      <c r="AO263">
        <v>5.6800000000000003E-2</v>
      </c>
      <c r="AP263">
        <v>0.14000000000000001</v>
      </c>
      <c r="AQ263">
        <v>0.27399999999999997</v>
      </c>
      <c r="AR263">
        <v>0.53800000000000003</v>
      </c>
      <c r="AS263">
        <v>2.1083368911518399</v>
      </c>
      <c r="AT263">
        <v>2.8305722387767802</v>
      </c>
      <c r="AU263">
        <v>3.5100387107126401</v>
      </c>
      <c r="AV263">
        <v>3.9032958454294802</v>
      </c>
      <c r="AW263">
        <v>4.7466026191753299</v>
      </c>
      <c r="AX263">
        <v>5.0823001860000003</v>
      </c>
      <c r="AY263">
        <v>5.8505997660000002</v>
      </c>
      <c r="AZ263">
        <v>6.8000001909999996</v>
      </c>
      <c r="BA263">
        <v>7.2691199233749204</v>
      </c>
      <c r="BB263">
        <v>7.5</v>
      </c>
      <c r="BC263">
        <v>8</v>
      </c>
      <c r="BD263">
        <v>9.1999998089999995</v>
      </c>
      <c r="BE263">
        <v>10.597999570000001</v>
      </c>
      <c r="BF263">
        <v>11.30000019</v>
      </c>
      <c r="BG263">
        <v>18.799999240000002</v>
      </c>
      <c r="BH263">
        <v>22.351400380000001</v>
      </c>
    </row>
    <row r="264" spans="1:70">
      <c r="A264" t="s">
        <v>593</v>
      </c>
      <c r="B264" t="s">
        <v>594</v>
      </c>
      <c r="C264" t="s">
        <v>75</v>
      </c>
      <c r="D264" t="s">
        <v>76</v>
      </c>
      <c r="AX264">
        <v>15.6</v>
      </c>
      <c r="AY264">
        <v>17.2</v>
      </c>
      <c r="AZ264">
        <v>20.2</v>
      </c>
      <c r="BA264">
        <v>22.8</v>
      </c>
      <c r="BB264">
        <v>25.3</v>
      </c>
      <c r="BC264">
        <v>28.4</v>
      </c>
      <c r="BD264">
        <v>30.9</v>
      </c>
      <c r="BE264">
        <v>33.299999999999997</v>
      </c>
      <c r="BF264">
        <v>35.299999999999997</v>
      </c>
      <c r="BG264">
        <v>37.4</v>
      </c>
      <c r="BH264">
        <v>39.9</v>
      </c>
      <c r="BI264">
        <v>43.6</v>
      </c>
      <c r="BJ264">
        <v>46.3</v>
      </c>
      <c r="BK264">
        <v>49.4</v>
      </c>
      <c r="BL264">
        <v>53.9</v>
      </c>
      <c r="BM264">
        <v>60.1</v>
      </c>
      <c r="BN264">
        <v>63.8</v>
      </c>
      <c r="BO264">
        <v>67</v>
      </c>
      <c r="BP264">
        <v>69.2</v>
      </c>
      <c r="BQ264">
        <v>71.2</v>
      </c>
      <c r="BR264">
        <v>73.599999999999994</v>
      </c>
    </row>
    <row r="265" spans="1:70">
      <c r="A265" t="s">
        <v>595</v>
      </c>
      <c r="B265" t="s">
        <v>596</v>
      </c>
      <c r="C265" t="s">
        <v>75</v>
      </c>
      <c r="D265" t="s">
        <v>76</v>
      </c>
      <c r="AI265">
        <v>0</v>
      </c>
      <c r="AP265">
        <v>0.17499999999999999</v>
      </c>
      <c r="AQ265">
        <v>0.23</v>
      </c>
      <c r="AR265">
        <v>0.28499999999999998</v>
      </c>
      <c r="AS265">
        <v>0.56639253268084899</v>
      </c>
      <c r="AT265">
        <v>1.6899028305872399</v>
      </c>
      <c r="AU265">
        <v>2.2448326757844299</v>
      </c>
      <c r="AV265">
        <v>2.7996304487807602</v>
      </c>
      <c r="AW265">
        <v>3.0755294104489699</v>
      </c>
      <c r="AX265">
        <v>3.3525921124682898</v>
      </c>
      <c r="AY265">
        <v>4.4691738732095398</v>
      </c>
      <c r="AZ265">
        <v>4.75</v>
      </c>
      <c r="BA265">
        <v>5.0315999979999999</v>
      </c>
      <c r="BB265">
        <v>6</v>
      </c>
      <c r="BC265">
        <v>7</v>
      </c>
      <c r="BD265">
        <v>11</v>
      </c>
      <c r="BE265">
        <v>12.92249966</v>
      </c>
      <c r="BF265">
        <v>15.30000019</v>
      </c>
      <c r="BG265">
        <v>21.200000760000002</v>
      </c>
    </row>
    <row r="266" spans="1:70">
      <c r="A266" t="s">
        <v>597</v>
      </c>
      <c r="B266" t="s">
        <v>598</v>
      </c>
      <c r="C266" t="s">
        <v>75</v>
      </c>
      <c r="D266" t="s">
        <v>76</v>
      </c>
      <c r="BJ266">
        <v>83.893596810279107</v>
      </c>
      <c r="BK266">
        <v>89.443031973487905</v>
      </c>
    </row>
    <row r="267" spans="1:70">
      <c r="A267" t="s">
        <v>599</v>
      </c>
      <c r="B267" t="s">
        <v>600</v>
      </c>
      <c r="C267" t="s">
        <v>75</v>
      </c>
      <c r="D267" t="s">
        <v>76</v>
      </c>
      <c r="AI267">
        <v>0</v>
      </c>
      <c r="AO267">
        <v>6.2100000000000002E-4</v>
      </c>
      <c r="AP267">
        <v>1.4999999999999999E-2</v>
      </c>
      <c r="AQ267">
        <v>2.3300000000000001E-2</v>
      </c>
      <c r="AR267">
        <v>5.6599999999999998E-2</v>
      </c>
      <c r="AS267">
        <v>8.2500386514310797E-2</v>
      </c>
      <c r="AT267">
        <v>9.0802458716929199E-2</v>
      </c>
      <c r="AU267">
        <v>0.51879603212343495</v>
      </c>
      <c r="AV267">
        <v>0.60473410043182096</v>
      </c>
      <c r="AW267">
        <v>0.88122298867951598</v>
      </c>
      <c r="AX267">
        <v>1.0485999580000001</v>
      </c>
      <c r="AY267">
        <v>1.24782404904485</v>
      </c>
      <c r="AZ267">
        <v>5.01</v>
      </c>
      <c r="BA267">
        <v>6.89</v>
      </c>
      <c r="BB267">
        <v>9.9600000000000009</v>
      </c>
      <c r="BC267">
        <v>12.35</v>
      </c>
      <c r="BD267">
        <v>14.90499973</v>
      </c>
      <c r="BE267">
        <v>17.446500780000001</v>
      </c>
      <c r="BF267">
        <v>20</v>
      </c>
      <c r="BG267">
        <v>22.549999239999998</v>
      </c>
      <c r="BH267">
        <v>24.085399630000001</v>
      </c>
      <c r="BI267">
        <v>24.579200740000001</v>
      </c>
      <c r="BL267">
        <v>17.490999219999999</v>
      </c>
    </row>
    <row r="268" spans="1:70">
      <c r="A268" t="s">
        <v>601</v>
      </c>
      <c r="B268" t="s">
        <v>602</v>
      </c>
      <c r="C268" t="s">
        <v>75</v>
      </c>
      <c r="D268" t="s">
        <v>76</v>
      </c>
      <c r="AI268">
        <v>0</v>
      </c>
      <c r="AJ268">
        <v>1.3300000000000001E-2</v>
      </c>
      <c r="AK268">
        <v>3.8900000000000004E-2</v>
      </c>
      <c r="AL268">
        <v>0.11399999999999999</v>
      </c>
      <c r="AM268">
        <v>0.247</v>
      </c>
      <c r="AN268">
        <v>0.67700000000000005</v>
      </c>
      <c r="AO268">
        <v>0.84200000000000008</v>
      </c>
      <c r="AP268">
        <v>1.63</v>
      </c>
      <c r="AQ268">
        <v>2.91</v>
      </c>
      <c r="AR268">
        <v>4.12</v>
      </c>
      <c r="AS268">
        <v>5.3485597320353699</v>
      </c>
      <c r="AT268">
        <v>6.3466193183976802</v>
      </c>
      <c r="AU268">
        <v>6.7103224370540397</v>
      </c>
      <c r="AV268">
        <v>7.00769172611251</v>
      </c>
      <c r="AW268">
        <v>8.4251186825405995</v>
      </c>
      <c r="AX268">
        <v>7.4885425299292097</v>
      </c>
      <c r="AY268">
        <v>7.6071396747738103</v>
      </c>
      <c r="AZ268">
        <v>8.0653751735550401</v>
      </c>
      <c r="BA268">
        <v>8.43</v>
      </c>
      <c r="BB268">
        <v>10</v>
      </c>
      <c r="BC268">
        <v>24</v>
      </c>
      <c r="BD268">
        <v>33.97</v>
      </c>
      <c r="BE268">
        <v>41</v>
      </c>
      <c r="BF268">
        <v>46.5</v>
      </c>
      <c r="BG268">
        <v>49</v>
      </c>
      <c r="BH268">
        <v>51.91910172</v>
      </c>
      <c r="BI268">
        <v>54</v>
      </c>
      <c r="BJ268">
        <v>56.167400360000002</v>
      </c>
      <c r="BK268">
        <v>62.400001529999997</v>
      </c>
      <c r="BL268">
        <v>69.69689941</v>
      </c>
      <c r="BM268">
        <v>72.1128006</v>
      </c>
      <c r="BN268">
        <v>74.968597410000001</v>
      </c>
      <c r="BO268">
        <v>78.293197629999995</v>
      </c>
      <c r="BP268">
        <v>78.336700440000001</v>
      </c>
      <c r="BQ268">
        <v>78.357597350000006</v>
      </c>
    </row>
    <row r="269" spans="1:70">
      <c r="A269" t="s">
        <v>603</v>
      </c>
      <c r="B269" t="s">
        <v>604</v>
      </c>
      <c r="C269" t="s">
        <v>75</v>
      </c>
      <c r="D269" t="s">
        <v>76</v>
      </c>
      <c r="AI269">
        <v>0</v>
      </c>
      <c r="AM269">
        <v>6.7799999999999996E-3</v>
      </c>
      <c r="AN269">
        <v>8.7800000000000013E-3</v>
      </c>
      <c r="AO269">
        <v>9.0699999999999999E-3</v>
      </c>
      <c r="AP269">
        <v>9.3299999999999998E-3</v>
      </c>
      <c r="AQ269">
        <v>3.0200000000000001E-2</v>
      </c>
      <c r="AR269">
        <v>0.14699999999999999</v>
      </c>
      <c r="AS269">
        <v>0.19107164250342801</v>
      </c>
      <c r="AT269">
        <v>0.23312955634233201</v>
      </c>
      <c r="AU269">
        <v>0.47775090694748401</v>
      </c>
      <c r="AV269">
        <v>0.98048303942611403</v>
      </c>
      <c r="AW269">
        <v>1.1000000000000001</v>
      </c>
      <c r="AX269">
        <v>1.2999999520000001</v>
      </c>
      <c r="AY269">
        <v>1.6000000240000001</v>
      </c>
      <c r="AZ269">
        <v>1.8999999759999999</v>
      </c>
      <c r="BA269">
        <v>2.2000000480000002</v>
      </c>
      <c r="BB269">
        <v>2.5</v>
      </c>
      <c r="BC269">
        <v>3</v>
      </c>
      <c r="BD269">
        <v>3.5</v>
      </c>
      <c r="BE269">
        <v>4.0999999049999998</v>
      </c>
      <c r="BF269">
        <v>4.8</v>
      </c>
      <c r="BG269">
        <v>6.5</v>
      </c>
      <c r="BH269">
        <v>8.8000000000000007</v>
      </c>
      <c r="BI269">
        <v>10.30000019</v>
      </c>
      <c r="BJ269">
        <v>12.19999981</v>
      </c>
      <c r="BK269">
        <v>14.299997095001199</v>
      </c>
      <c r="BL269">
        <v>14.471899990000001</v>
      </c>
      <c r="BM269">
        <v>14.64579964</v>
      </c>
      <c r="BN269">
        <v>14.82190037</v>
      </c>
      <c r="BO269">
        <v>15</v>
      </c>
      <c r="BP269">
        <v>16.45070076</v>
      </c>
      <c r="BQ269">
        <v>17.100999829999999</v>
      </c>
    </row>
    <row r="270" spans="1:70">
      <c r="A270" t="s">
        <v>605</v>
      </c>
      <c r="B270" t="s">
        <v>606</v>
      </c>
      <c r="C270" t="s">
        <v>75</v>
      </c>
      <c r="D270" t="s">
        <v>76</v>
      </c>
      <c r="AI270">
        <v>0</v>
      </c>
      <c r="AM270">
        <v>1.74E-3</v>
      </c>
      <c r="AN270">
        <v>7.6799999999999993E-3</v>
      </c>
      <c r="AO270">
        <v>1.6799999999999999E-2</v>
      </c>
      <c r="AP270">
        <v>3.3100000000000004E-2</v>
      </c>
      <c r="AQ270">
        <v>8.1600000000000006E-2</v>
      </c>
      <c r="AR270">
        <v>0.16199999999999998</v>
      </c>
      <c r="AS270">
        <v>0.40143353521158198</v>
      </c>
      <c r="AT270">
        <v>0.79984604563313699</v>
      </c>
      <c r="AU270">
        <v>1.1000000000000001</v>
      </c>
      <c r="AV270">
        <v>1.8</v>
      </c>
      <c r="AW270">
        <v>2.1</v>
      </c>
      <c r="AX270">
        <v>2.4000000950000002</v>
      </c>
      <c r="AY270">
        <v>2.4000000950000002</v>
      </c>
      <c r="AZ270">
        <v>3</v>
      </c>
      <c r="BA270">
        <v>3.5</v>
      </c>
      <c r="BB270">
        <v>4</v>
      </c>
      <c r="BC270">
        <v>6.4000000950000002</v>
      </c>
      <c r="BD270">
        <v>8.3999996190000008</v>
      </c>
      <c r="BE270">
        <v>12</v>
      </c>
      <c r="BF270">
        <v>15.5</v>
      </c>
      <c r="BG270">
        <v>16.3647399572904</v>
      </c>
      <c r="BH270">
        <v>22.74279976</v>
      </c>
      <c r="BI270">
        <v>23.120000839999999</v>
      </c>
      <c r="BJ270">
        <v>24.399999619999999</v>
      </c>
      <c r="BK270">
        <v>25</v>
      </c>
      <c r="BL270">
        <v>26.588300700000001</v>
      </c>
      <c r="BM270">
        <v>29.298565320000002</v>
      </c>
      <c r="BN270">
        <v>32.5923996</v>
      </c>
      <c r="BO270">
        <v>36.256500240000001</v>
      </c>
      <c r="BP270">
        <v>38.674800869999999</v>
      </c>
      <c r="BQ270">
        <v>41.64279938</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D6C33-7BC8-4571-AF23-72D8555317D5}">
  <dimension ref="A1:E266"/>
  <sheetViews>
    <sheetView topLeftCell="A69" workbookViewId="0">
      <selection activeCell="B104" sqref="B104:B107"/>
    </sheetView>
  </sheetViews>
  <sheetFormatPr defaultRowHeight="15"/>
  <cols>
    <col min="1" max="1" width="17.5703125" customWidth="1"/>
    <col min="2" max="2" width="21.42578125" customWidth="1"/>
    <col min="3" max="5" width="17.5703125" customWidth="1"/>
  </cols>
  <sheetData>
    <row r="1" spans="1:5">
      <c r="A1" t="s">
        <v>4</v>
      </c>
      <c r="B1" t="s">
        <v>607</v>
      </c>
      <c r="C1" t="s">
        <v>608</v>
      </c>
      <c r="D1" t="s">
        <v>609</v>
      </c>
      <c r="E1" t="s">
        <v>610</v>
      </c>
    </row>
    <row r="2" spans="1:5">
      <c r="A2" t="s">
        <v>74</v>
      </c>
      <c r="B2" t="s">
        <v>343</v>
      </c>
      <c r="C2" t="s">
        <v>265</v>
      </c>
      <c r="E2" t="s">
        <v>73</v>
      </c>
    </row>
    <row r="3" spans="1:5">
      <c r="A3" t="s">
        <v>78</v>
      </c>
      <c r="D3" t="s">
        <v>611</v>
      </c>
      <c r="E3" t="s">
        <v>77</v>
      </c>
    </row>
    <row r="4" spans="1:5" ht="409.6">
      <c r="A4" t="s">
        <v>80</v>
      </c>
      <c r="B4" t="s">
        <v>612</v>
      </c>
      <c r="C4" t="s">
        <v>347</v>
      </c>
      <c r="D4" s="2" t="s">
        <v>613</v>
      </c>
      <c r="E4" t="s">
        <v>79</v>
      </c>
    </row>
    <row r="5" spans="1:5">
      <c r="A5" t="s">
        <v>82</v>
      </c>
      <c r="D5" t="s">
        <v>614</v>
      </c>
      <c r="E5" t="s">
        <v>81</v>
      </c>
    </row>
    <row r="6" spans="1:5">
      <c r="A6" t="s">
        <v>84</v>
      </c>
      <c r="B6" t="s">
        <v>509</v>
      </c>
      <c r="C6" t="s">
        <v>353</v>
      </c>
      <c r="D6" t="s">
        <v>615</v>
      </c>
      <c r="E6" t="s">
        <v>83</v>
      </c>
    </row>
    <row r="7" spans="1:5">
      <c r="A7" t="s">
        <v>86</v>
      </c>
      <c r="B7" t="s">
        <v>205</v>
      </c>
      <c r="C7" t="s">
        <v>573</v>
      </c>
      <c r="E7" t="s">
        <v>85</v>
      </c>
    </row>
    <row r="8" spans="1:5">
      <c r="A8" t="s">
        <v>88</v>
      </c>
      <c r="B8" t="s">
        <v>205</v>
      </c>
      <c r="C8" t="s">
        <v>265</v>
      </c>
      <c r="E8" t="s">
        <v>87</v>
      </c>
    </row>
    <row r="9" spans="1:5">
      <c r="A9" t="s">
        <v>90</v>
      </c>
      <c r="D9" t="s">
        <v>616</v>
      </c>
      <c r="E9" t="s">
        <v>89</v>
      </c>
    </row>
    <row r="10" spans="1:5">
      <c r="A10" t="s">
        <v>92</v>
      </c>
      <c r="B10" t="s">
        <v>612</v>
      </c>
      <c r="C10" t="s">
        <v>265</v>
      </c>
      <c r="E10" t="s">
        <v>91</v>
      </c>
    </row>
    <row r="11" spans="1:5" ht="409.5">
      <c r="A11" t="s">
        <v>94</v>
      </c>
      <c r="B11" t="s">
        <v>343</v>
      </c>
      <c r="C11" t="s">
        <v>573</v>
      </c>
      <c r="D11" s="2" t="s">
        <v>617</v>
      </c>
      <c r="E11" t="s">
        <v>93</v>
      </c>
    </row>
    <row r="12" spans="1:5">
      <c r="A12" t="s">
        <v>96</v>
      </c>
      <c r="B12" t="s">
        <v>205</v>
      </c>
      <c r="C12" t="s">
        <v>573</v>
      </c>
      <c r="E12" t="s">
        <v>95</v>
      </c>
    </row>
    <row r="13" spans="1:5">
      <c r="A13" t="s">
        <v>98</v>
      </c>
      <c r="B13" t="s">
        <v>201</v>
      </c>
      <c r="C13" t="s">
        <v>265</v>
      </c>
      <c r="E13" t="s">
        <v>97</v>
      </c>
    </row>
    <row r="14" spans="1:5">
      <c r="A14" t="s">
        <v>100</v>
      </c>
      <c r="B14" t="s">
        <v>343</v>
      </c>
      <c r="C14" t="s">
        <v>265</v>
      </c>
      <c r="E14" t="s">
        <v>99</v>
      </c>
    </row>
    <row r="15" spans="1:5">
      <c r="A15" t="s">
        <v>102</v>
      </c>
      <c r="B15" t="s">
        <v>201</v>
      </c>
      <c r="C15" t="s">
        <v>265</v>
      </c>
      <c r="D15" t="s">
        <v>618</v>
      </c>
      <c r="E15" t="s">
        <v>101</v>
      </c>
    </row>
    <row r="16" spans="1:5">
      <c r="A16" t="s">
        <v>104</v>
      </c>
      <c r="B16" t="s">
        <v>205</v>
      </c>
      <c r="C16" t="s">
        <v>265</v>
      </c>
      <c r="D16" t="s">
        <v>619</v>
      </c>
      <c r="E16" t="s">
        <v>103</v>
      </c>
    </row>
    <row r="17" spans="1:5">
      <c r="A17" t="s">
        <v>106</v>
      </c>
      <c r="B17" t="s">
        <v>205</v>
      </c>
      <c r="C17" t="s">
        <v>573</v>
      </c>
      <c r="E17" t="s">
        <v>105</v>
      </c>
    </row>
    <row r="18" spans="1:5">
      <c r="A18" t="s">
        <v>108</v>
      </c>
      <c r="B18" t="s">
        <v>509</v>
      </c>
      <c r="C18" t="s">
        <v>347</v>
      </c>
      <c r="D18" t="s">
        <v>620</v>
      </c>
      <c r="E18" t="s">
        <v>107</v>
      </c>
    </row>
    <row r="19" spans="1:5">
      <c r="A19" t="s">
        <v>110</v>
      </c>
      <c r="B19" t="s">
        <v>205</v>
      </c>
      <c r="C19" t="s">
        <v>265</v>
      </c>
      <c r="D19" t="s">
        <v>621</v>
      </c>
      <c r="E19" t="s">
        <v>109</v>
      </c>
    </row>
    <row r="20" spans="1:5">
      <c r="A20" t="s">
        <v>112</v>
      </c>
      <c r="B20" t="s">
        <v>509</v>
      </c>
      <c r="C20" t="s">
        <v>353</v>
      </c>
      <c r="E20" t="s">
        <v>111</v>
      </c>
    </row>
    <row r="21" spans="1:5">
      <c r="A21" t="s">
        <v>114</v>
      </c>
      <c r="B21" t="s">
        <v>509</v>
      </c>
      <c r="C21" t="s">
        <v>347</v>
      </c>
      <c r="E21" t="s">
        <v>113</v>
      </c>
    </row>
    <row r="22" spans="1:5">
      <c r="A22" t="s">
        <v>116</v>
      </c>
      <c r="B22" t="s">
        <v>483</v>
      </c>
      <c r="C22" t="s">
        <v>353</v>
      </c>
      <c r="D22" t="s">
        <v>618</v>
      </c>
      <c r="E22" t="s">
        <v>115</v>
      </c>
    </row>
    <row r="23" spans="1:5">
      <c r="A23" t="s">
        <v>118</v>
      </c>
      <c r="B23" t="s">
        <v>205</v>
      </c>
      <c r="C23" t="s">
        <v>265</v>
      </c>
      <c r="D23" t="s">
        <v>622</v>
      </c>
      <c r="E23" t="s">
        <v>117</v>
      </c>
    </row>
    <row r="24" spans="1:5">
      <c r="A24" t="s">
        <v>120</v>
      </c>
      <c r="B24" t="s">
        <v>612</v>
      </c>
      <c r="C24" t="s">
        <v>265</v>
      </c>
      <c r="E24" t="s">
        <v>119</v>
      </c>
    </row>
    <row r="25" spans="1:5">
      <c r="A25" t="s">
        <v>122</v>
      </c>
      <c r="B25" t="s">
        <v>343</v>
      </c>
      <c r="C25" t="s">
        <v>265</v>
      </c>
      <c r="E25" t="s">
        <v>121</v>
      </c>
    </row>
    <row r="26" spans="1:5">
      <c r="A26" t="s">
        <v>124</v>
      </c>
      <c r="B26" t="s">
        <v>205</v>
      </c>
      <c r="C26" t="s">
        <v>573</v>
      </c>
      <c r="E26" t="s">
        <v>123</v>
      </c>
    </row>
    <row r="27" spans="1:5">
      <c r="A27" t="s">
        <v>126</v>
      </c>
      <c r="B27" t="s">
        <v>205</v>
      </c>
      <c r="C27" t="s">
        <v>573</v>
      </c>
      <c r="D27" t="s">
        <v>623</v>
      </c>
      <c r="E27" t="s">
        <v>125</v>
      </c>
    </row>
    <row r="28" spans="1:5">
      <c r="A28" t="s">
        <v>128</v>
      </c>
      <c r="B28" t="s">
        <v>343</v>
      </c>
      <c r="C28" t="s">
        <v>573</v>
      </c>
      <c r="E28" t="s">
        <v>127</v>
      </c>
    </row>
    <row r="29" spans="1:5">
      <c r="A29" t="s">
        <v>130</v>
      </c>
      <c r="B29" t="s">
        <v>415</v>
      </c>
      <c r="C29" t="s">
        <v>265</v>
      </c>
      <c r="E29" t="s">
        <v>129</v>
      </c>
    </row>
    <row r="30" spans="1:5">
      <c r="A30" t="s">
        <v>132</v>
      </c>
      <c r="B30" t="s">
        <v>343</v>
      </c>
      <c r="C30" t="s">
        <v>353</v>
      </c>
      <c r="E30" t="s">
        <v>131</v>
      </c>
    </row>
    <row r="31" spans="1:5">
      <c r="A31" t="s">
        <v>134</v>
      </c>
      <c r="B31" t="s">
        <v>343</v>
      </c>
      <c r="C31" t="s">
        <v>573</v>
      </c>
      <c r="E31" t="s">
        <v>133</v>
      </c>
    </row>
    <row r="32" spans="1:5">
      <c r="A32" t="s">
        <v>136</v>
      </c>
      <c r="B32" t="s">
        <v>343</v>
      </c>
      <c r="C32" t="s">
        <v>265</v>
      </c>
      <c r="E32" t="s">
        <v>135</v>
      </c>
    </row>
    <row r="33" spans="1:5">
      <c r="A33" t="s">
        <v>138</v>
      </c>
      <c r="B33" t="s">
        <v>201</v>
      </c>
      <c r="C33" t="s">
        <v>265</v>
      </c>
      <c r="E33" t="s">
        <v>137</v>
      </c>
    </row>
    <row r="34" spans="1:5">
      <c r="A34" t="s">
        <v>140</v>
      </c>
      <c r="B34" t="s">
        <v>483</v>
      </c>
      <c r="C34" t="s">
        <v>353</v>
      </c>
      <c r="E34" t="s">
        <v>139</v>
      </c>
    </row>
    <row r="35" spans="1:5">
      <c r="A35" t="s">
        <v>142</v>
      </c>
      <c r="B35" t="s">
        <v>509</v>
      </c>
      <c r="C35" t="s">
        <v>573</v>
      </c>
      <c r="E35" t="s">
        <v>141</v>
      </c>
    </row>
    <row r="36" spans="1:5">
      <c r="A36" t="s">
        <v>144</v>
      </c>
      <c r="B36" t="s">
        <v>509</v>
      </c>
      <c r="C36" t="s">
        <v>347</v>
      </c>
      <c r="E36" t="s">
        <v>143</v>
      </c>
    </row>
    <row r="37" spans="1:5">
      <c r="A37" t="s">
        <v>146</v>
      </c>
      <c r="B37" t="s">
        <v>415</v>
      </c>
      <c r="C37" t="s">
        <v>265</v>
      </c>
      <c r="D37" t="s">
        <v>624</v>
      </c>
      <c r="E37" t="s">
        <v>145</v>
      </c>
    </row>
    <row r="38" spans="1:5">
      <c r="A38" t="s">
        <v>148</v>
      </c>
      <c r="D38" t="s">
        <v>625</v>
      </c>
      <c r="E38" t="s">
        <v>147</v>
      </c>
    </row>
    <row r="39" spans="1:5">
      <c r="A39" t="s">
        <v>150</v>
      </c>
      <c r="B39" t="s">
        <v>205</v>
      </c>
      <c r="C39" t="s">
        <v>265</v>
      </c>
      <c r="E39" t="s">
        <v>149</v>
      </c>
    </row>
    <row r="40" spans="1:5">
      <c r="A40" t="s">
        <v>152</v>
      </c>
      <c r="B40" t="s">
        <v>205</v>
      </c>
      <c r="C40" t="s">
        <v>265</v>
      </c>
      <c r="E40" t="s">
        <v>151</v>
      </c>
    </row>
    <row r="41" spans="1:5">
      <c r="A41" t="s">
        <v>154</v>
      </c>
      <c r="B41" t="s">
        <v>343</v>
      </c>
      <c r="C41" t="s">
        <v>265</v>
      </c>
      <c r="E41" t="s">
        <v>153</v>
      </c>
    </row>
    <row r="42" spans="1:5" ht="409.5">
      <c r="A42" t="s">
        <v>156</v>
      </c>
      <c r="B42" t="s">
        <v>201</v>
      </c>
      <c r="C42" t="s">
        <v>573</v>
      </c>
      <c r="D42" s="2" t="s">
        <v>626</v>
      </c>
      <c r="E42" t="s">
        <v>155</v>
      </c>
    </row>
    <row r="43" spans="1:5">
      <c r="A43" t="s">
        <v>158</v>
      </c>
      <c r="B43" t="s">
        <v>509</v>
      </c>
      <c r="C43" t="s">
        <v>353</v>
      </c>
      <c r="E43" t="s">
        <v>627</v>
      </c>
    </row>
    <row r="44" spans="1:5">
      <c r="A44" t="s">
        <v>160</v>
      </c>
      <c r="B44" t="s">
        <v>509</v>
      </c>
      <c r="C44" t="s">
        <v>353</v>
      </c>
      <c r="E44" t="s">
        <v>159</v>
      </c>
    </row>
    <row r="45" spans="1:5">
      <c r="A45" t="s">
        <v>162</v>
      </c>
      <c r="B45" t="s">
        <v>509</v>
      </c>
      <c r="C45" t="s">
        <v>347</v>
      </c>
      <c r="D45" t="s">
        <v>628</v>
      </c>
      <c r="E45" t="s">
        <v>161</v>
      </c>
    </row>
    <row r="46" spans="1:5">
      <c r="A46" t="s">
        <v>164</v>
      </c>
      <c r="B46" t="s">
        <v>509</v>
      </c>
      <c r="C46" t="s">
        <v>353</v>
      </c>
      <c r="E46" t="s">
        <v>163</v>
      </c>
    </row>
    <row r="47" spans="1:5">
      <c r="A47" t="s">
        <v>166</v>
      </c>
      <c r="B47" t="s">
        <v>343</v>
      </c>
      <c r="C47" t="s">
        <v>573</v>
      </c>
      <c r="E47" t="s">
        <v>165</v>
      </c>
    </row>
    <row r="48" spans="1:5">
      <c r="A48" t="s">
        <v>168</v>
      </c>
      <c r="B48" t="s">
        <v>509</v>
      </c>
      <c r="C48" t="s">
        <v>353</v>
      </c>
      <c r="E48" t="s">
        <v>167</v>
      </c>
    </row>
    <row r="49" spans="1:5">
      <c r="A49" t="s">
        <v>170</v>
      </c>
      <c r="B49" t="s">
        <v>509</v>
      </c>
      <c r="C49" t="s">
        <v>573</v>
      </c>
      <c r="E49" t="s">
        <v>169</v>
      </c>
    </row>
    <row r="50" spans="1:5">
      <c r="A50" t="s">
        <v>172</v>
      </c>
      <c r="B50" t="s">
        <v>343</v>
      </c>
      <c r="C50" t="s">
        <v>265</v>
      </c>
      <c r="E50" t="s">
        <v>171</v>
      </c>
    </row>
    <row r="51" spans="1:5">
      <c r="A51" t="s">
        <v>174</v>
      </c>
      <c r="D51" t="s">
        <v>629</v>
      </c>
      <c r="E51" t="s">
        <v>173</v>
      </c>
    </row>
    <row r="52" spans="1:5">
      <c r="A52" t="s">
        <v>176</v>
      </c>
      <c r="B52" t="s">
        <v>343</v>
      </c>
      <c r="C52" t="s">
        <v>573</v>
      </c>
      <c r="E52" t="s">
        <v>175</v>
      </c>
    </row>
    <row r="53" spans="1:5">
      <c r="A53" t="s">
        <v>178</v>
      </c>
      <c r="B53" t="s">
        <v>343</v>
      </c>
      <c r="C53" t="s">
        <v>265</v>
      </c>
      <c r="E53" t="s">
        <v>630</v>
      </c>
    </row>
    <row r="54" spans="1:5">
      <c r="A54" t="s">
        <v>180</v>
      </c>
      <c r="B54" t="s">
        <v>343</v>
      </c>
      <c r="C54" t="s">
        <v>265</v>
      </c>
      <c r="E54" t="s">
        <v>179</v>
      </c>
    </row>
    <row r="55" spans="1:5">
      <c r="A55" t="s">
        <v>182</v>
      </c>
      <c r="B55" t="s">
        <v>205</v>
      </c>
      <c r="C55" t="s">
        <v>265</v>
      </c>
      <c r="D55" t="s">
        <v>631</v>
      </c>
      <c r="E55" t="s">
        <v>181</v>
      </c>
    </row>
    <row r="56" spans="1:5">
      <c r="A56" t="s">
        <v>184</v>
      </c>
      <c r="B56" t="s">
        <v>205</v>
      </c>
      <c r="C56" t="s">
        <v>265</v>
      </c>
      <c r="E56" t="s">
        <v>183</v>
      </c>
    </row>
    <row r="57" spans="1:5">
      <c r="A57" t="s">
        <v>186</v>
      </c>
      <c r="B57" t="s">
        <v>205</v>
      </c>
      <c r="C57" t="s">
        <v>265</v>
      </c>
      <c r="D57" t="s">
        <v>632</v>
      </c>
      <c r="E57" t="s">
        <v>185</v>
      </c>
    </row>
    <row r="58" spans="1:5">
      <c r="A58" t="s">
        <v>188</v>
      </c>
      <c r="B58" t="s">
        <v>612</v>
      </c>
      <c r="C58" t="s">
        <v>353</v>
      </c>
      <c r="E58" t="s">
        <v>187</v>
      </c>
    </row>
    <row r="59" spans="1:5">
      <c r="A59" t="s">
        <v>190</v>
      </c>
      <c r="B59" t="s">
        <v>343</v>
      </c>
      <c r="C59" t="s">
        <v>573</v>
      </c>
      <c r="E59" t="s">
        <v>189</v>
      </c>
    </row>
    <row r="60" spans="1:5">
      <c r="A60" t="s">
        <v>192</v>
      </c>
      <c r="B60" t="s">
        <v>205</v>
      </c>
      <c r="C60" t="s">
        <v>265</v>
      </c>
      <c r="E60" t="s">
        <v>191</v>
      </c>
    </row>
    <row r="61" spans="1:5">
      <c r="A61" t="s">
        <v>194</v>
      </c>
      <c r="B61" t="s">
        <v>343</v>
      </c>
      <c r="C61" t="s">
        <v>573</v>
      </c>
      <c r="E61" t="s">
        <v>193</v>
      </c>
    </row>
    <row r="62" spans="1:5">
      <c r="A62" t="s">
        <v>196</v>
      </c>
      <c r="B62" t="s">
        <v>612</v>
      </c>
      <c r="C62" t="s">
        <v>573</v>
      </c>
      <c r="E62" t="s">
        <v>195</v>
      </c>
    </row>
    <row r="63" spans="1:5">
      <c r="A63" t="s">
        <v>198</v>
      </c>
      <c r="E63" t="s">
        <v>197</v>
      </c>
    </row>
    <row r="64" spans="1:5">
      <c r="A64" t="s">
        <v>200</v>
      </c>
      <c r="D64" t="s">
        <v>633</v>
      </c>
      <c r="E64" t="s">
        <v>199</v>
      </c>
    </row>
    <row r="65" spans="1:5">
      <c r="A65" t="s">
        <v>202</v>
      </c>
      <c r="D65" t="s">
        <v>634</v>
      </c>
      <c r="E65" t="s">
        <v>201</v>
      </c>
    </row>
    <row r="66" spans="1:5">
      <c r="A66" t="s">
        <v>204</v>
      </c>
      <c r="E66" t="s">
        <v>203</v>
      </c>
    </row>
    <row r="67" spans="1:5">
      <c r="A67" t="s">
        <v>206</v>
      </c>
      <c r="D67" t="s">
        <v>635</v>
      </c>
      <c r="E67" t="s">
        <v>205</v>
      </c>
    </row>
    <row r="68" spans="1:5">
      <c r="A68" t="s">
        <v>208</v>
      </c>
      <c r="B68" t="s">
        <v>343</v>
      </c>
      <c r="C68" t="s">
        <v>573</v>
      </c>
      <c r="E68" t="s">
        <v>207</v>
      </c>
    </row>
    <row r="69" spans="1:5" ht="409.5">
      <c r="A69" t="s">
        <v>210</v>
      </c>
      <c r="B69" t="s">
        <v>612</v>
      </c>
      <c r="C69" t="s">
        <v>353</v>
      </c>
      <c r="D69" s="2" t="s">
        <v>636</v>
      </c>
      <c r="E69" t="s">
        <v>209</v>
      </c>
    </row>
    <row r="70" spans="1:5">
      <c r="A70" t="s">
        <v>212</v>
      </c>
      <c r="D70" t="s">
        <v>637</v>
      </c>
      <c r="E70" t="s">
        <v>211</v>
      </c>
    </row>
    <row r="71" spans="1:5">
      <c r="A71" t="s">
        <v>214</v>
      </c>
      <c r="B71" t="s">
        <v>509</v>
      </c>
      <c r="C71" t="s">
        <v>347</v>
      </c>
      <c r="D71" t="s">
        <v>638</v>
      </c>
      <c r="E71" t="s">
        <v>213</v>
      </c>
    </row>
    <row r="72" spans="1:5">
      <c r="A72" t="s">
        <v>216</v>
      </c>
      <c r="B72" t="s">
        <v>205</v>
      </c>
      <c r="C72" t="s">
        <v>265</v>
      </c>
      <c r="D72" t="s">
        <v>639</v>
      </c>
      <c r="E72" t="s">
        <v>215</v>
      </c>
    </row>
    <row r="73" spans="1:5">
      <c r="A73" t="s">
        <v>218</v>
      </c>
      <c r="B73" t="s">
        <v>205</v>
      </c>
      <c r="C73" t="s">
        <v>265</v>
      </c>
      <c r="D73" t="s">
        <v>640</v>
      </c>
      <c r="E73" t="s">
        <v>217</v>
      </c>
    </row>
    <row r="74" spans="1:5">
      <c r="A74" t="s">
        <v>220</v>
      </c>
      <c r="B74" t="s">
        <v>509</v>
      </c>
      <c r="C74" t="s">
        <v>347</v>
      </c>
      <c r="D74" t="s">
        <v>641</v>
      </c>
      <c r="E74" t="s">
        <v>219</v>
      </c>
    </row>
    <row r="75" spans="1:5">
      <c r="A75" t="s">
        <v>222</v>
      </c>
      <c r="D75" t="s">
        <v>642</v>
      </c>
      <c r="E75" t="s">
        <v>221</v>
      </c>
    </row>
    <row r="76" spans="1:5">
      <c r="A76" t="s">
        <v>224</v>
      </c>
      <c r="D76" t="s">
        <v>643</v>
      </c>
      <c r="E76" t="s">
        <v>223</v>
      </c>
    </row>
    <row r="77" spans="1:5">
      <c r="A77" t="s">
        <v>226</v>
      </c>
      <c r="B77" t="s">
        <v>205</v>
      </c>
      <c r="C77" t="s">
        <v>265</v>
      </c>
      <c r="D77" t="s">
        <v>644</v>
      </c>
      <c r="E77" t="s">
        <v>225</v>
      </c>
    </row>
    <row r="78" spans="1:5">
      <c r="A78" t="s">
        <v>228</v>
      </c>
      <c r="B78" t="s">
        <v>201</v>
      </c>
      <c r="C78" t="s">
        <v>573</v>
      </c>
      <c r="E78" t="s">
        <v>227</v>
      </c>
    </row>
    <row r="79" spans="1:5">
      <c r="A79" t="s">
        <v>230</v>
      </c>
      <c r="B79" t="s">
        <v>205</v>
      </c>
      <c r="C79" t="s">
        <v>265</v>
      </c>
      <c r="D79" t="s">
        <v>645</v>
      </c>
      <c r="E79" t="s">
        <v>229</v>
      </c>
    </row>
    <row r="80" spans="1:5">
      <c r="A80" t="s">
        <v>232</v>
      </c>
      <c r="B80" t="s">
        <v>205</v>
      </c>
      <c r="C80" t="s">
        <v>265</v>
      </c>
      <c r="E80" t="s">
        <v>231</v>
      </c>
    </row>
    <row r="81" spans="1:5">
      <c r="A81" t="s">
        <v>234</v>
      </c>
      <c r="B81" t="s">
        <v>201</v>
      </c>
      <c r="C81" t="s">
        <v>573</v>
      </c>
      <c r="D81" t="s">
        <v>646</v>
      </c>
      <c r="E81" t="s">
        <v>233</v>
      </c>
    </row>
    <row r="82" spans="1:5">
      <c r="A82" t="s">
        <v>236</v>
      </c>
      <c r="B82" t="s">
        <v>509</v>
      </c>
      <c r="C82" t="s">
        <v>573</v>
      </c>
      <c r="E82" t="s">
        <v>235</v>
      </c>
    </row>
    <row r="83" spans="1:5">
      <c r="A83" t="s">
        <v>238</v>
      </c>
      <c r="B83" t="s">
        <v>205</v>
      </c>
      <c r="C83" t="s">
        <v>265</v>
      </c>
      <c r="E83" t="s">
        <v>237</v>
      </c>
    </row>
    <row r="84" spans="1:5">
      <c r="A84" t="s">
        <v>240</v>
      </c>
      <c r="B84" t="s">
        <v>205</v>
      </c>
      <c r="C84" t="s">
        <v>573</v>
      </c>
      <c r="D84" t="s">
        <v>647</v>
      </c>
      <c r="E84" t="s">
        <v>239</v>
      </c>
    </row>
    <row r="85" spans="1:5">
      <c r="A85" t="s">
        <v>242</v>
      </c>
      <c r="B85" t="s">
        <v>509</v>
      </c>
      <c r="C85" t="s">
        <v>353</v>
      </c>
      <c r="D85" t="s">
        <v>648</v>
      </c>
      <c r="E85" t="s">
        <v>241</v>
      </c>
    </row>
    <row r="86" spans="1:5">
      <c r="A86" t="s">
        <v>244</v>
      </c>
      <c r="B86" t="s">
        <v>205</v>
      </c>
      <c r="C86" t="s">
        <v>265</v>
      </c>
      <c r="D86" t="s">
        <v>649</v>
      </c>
      <c r="E86" t="s">
        <v>243</v>
      </c>
    </row>
    <row r="87" spans="1:5">
      <c r="A87" t="s">
        <v>246</v>
      </c>
      <c r="B87" t="s">
        <v>509</v>
      </c>
      <c r="C87" t="s">
        <v>353</v>
      </c>
      <c r="E87" t="s">
        <v>245</v>
      </c>
    </row>
    <row r="88" spans="1:5">
      <c r="A88" t="s">
        <v>248</v>
      </c>
      <c r="B88" t="s">
        <v>509</v>
      </c>
      <c r="C88" t="s">
        <v>347</v>
      </c>
      <c r="E88" t="s">
        <v>247</v>
      </c>
    </row>
    <row r="89" spans="1:5">
      <c r="A89" t="s">
        <v>250</v>
      </c>
      <c r="B89" t="s">
        <v>509</v>
      </c>
      <c r="C89" t="s">
        <v>347</v>
      </c>
      <c r="E89" t="s">
        <v>249</v>
      </c>
    </row>
    <row r="90" spans="1:5">
      <c r="A90" t="s">
        <v>252</v>
      </c>
      <c r="B90" t="s">
        <v>509</v>
      </c>
      <c r="C90" t="s">
        <v>573</v>
      </c>
      <c r="E90" t="s">
        <v>251</v>
      </c>
    </row>
    <row r="91" spans="1:5">
      <c r="A91" t="s">
        <v>254</v>
      </c>
      <c r="B91" t="s">
        <v>205</v>
      </c>
      <c r="C91" t="s">
        <v>265</v>
      </c>
      <c r="D91" t="s">
        <v>650</v>
      </c>
      <c r="E91" t="s">
        <v>253</v>
      </c>
    </row>
    <row r="92" spans="1:5">
      <c r="A92" t="s">
        <v>256</v>
      </c>
      <c r="B92" t="s">
        <v>343</v>
      </c>
      <c r="C92" t="s">
        <v>573</v>
      </c>
      <c r="E92" t="s">
        <v>255</v>
      </c>
    </row>
    <row r="93" spans="1:5">
      <c r="A93" t="s">
        <v>258</v>
      </c>
      <c r="B93" t="s">
        <v>205</v>
      </c>
      <c r="C93" t="s">
        <v>265</v>
      </c>
      <c r="E93" t="s">
        <v>257</v>
      </c>
    </row>
    <row r="94" spans="1:5">
      <c r="A94" t="s">
        <v>260</v>
      </c>
      <c r="B94" t="s">
        <v>343</v>
      </c>
      <c r="C94" t="s">
        <v>573</v>
      </c>
      <c r="D94" t="s">
        <v>651</v>
      </c>
      <c r="E94" t="s">
        <v>259</v>
      </c>
    </row>
    <row r="95" spans="1:5">
      <c r="A95" t="s">
        <v>262</v>
      </c>
      <c r="B95" t="s">
        <v>201</v>
      </c>
      <c r="C95" t="s">
        <v>265</v>
      </c>
      <c r="E95" t="s">
        <v>261</v>
      </c>
    </row>
    <row r="96" spans="1:5">
      <c r="A96" t="s">
        <v>264</v>
      </c>
      <c r="B96" t="s">
        <v>343</v>
      </c>
      <c r="C96" t="s">
        <v>265</v>
      </c>
      <c r="E96" t="s">
        <v>263</v>
      </c>
    </row>
    <row r="97" spans="1:5" ht="409.5">
      <c r="A97" t="s">
        <v>266</v>
      </c>
      <c r="D97" s="2" t="s">
        <v>652</v>
      </c>
      <c r="E97" t="s">
        <v>265</v>
      </c>
    </row>
    <row r="98" spans="1:5">
      <c r="A98" t="s">
        <v>268</v>
      </c>
      <c r="B98" t="s">
        <v>201</v>
      </c>
      <c r="C98" t="s">
        <v>265</v>
      </c>
      <c r="D98" t="s">
        <v>653</v>
      </c>
      <c r="E98" t="s">
        <v>267</v>
      </c>
    </row>
    <row r="99" spans="1:5">
      <c r="A99" t="s">
        <v>270</v>
      </c>
      <c r="B99" t="s">
        <v>343</v>
      </c>
      <c r="C99" t="s">
        <v>353</v>
      </c>
      <c r="D99" t="s">
        <v>654</v>
      </c>
      <c r="E99" t="s">
        <v>269</v>
      </c>
    </row>
    <row r="100" spans="1:5">
      <c r="A100" t="s">
        <v>272</v>
      </c>
      <c r="D100" t="s">
        <v>655</v>
      </c>
      <c r="E100" t="s">
        <v>271</v>
      </c>
    </row>
    <row r="101" spans="1:5">
      <c r="A101" t="s">
        <v>274</v>
      </c>
      <c r="B101" t="s">
        <v>205</v>
      </c>
      <c r="C101" t="s">
        <v>265</v>
      </c>
      <c r="D101" t="s">
        <v>656</v>
      </c>
      <c r="E101" t="s">
        <v>273</v>
      </c>
    </row>
    <row r="102" spans="1:5">
      <c r="A102" t="s">
        <v>276</v>
      </c>
      <c r="B102" t="s">
        <v>343</v>
      </c>
      <c r="C102" t="s">
        <v>353</v>
      </c>
      <c r="D102" t="s">
        <v>657</v>
      </c>
      <c r="E102" t="s">
        <v>275</v>
      </c>
    </row>
    <row r="103" spans="1:5">
      <c r="A103" t="s">
        <v>278</v>
      </c>
      <c r="B103" t="s">
        <v>205</v>
      </c>
      <c r="C103" t="s">
        <v>265</v>
      </c>
      <c r="E103" t="s">
        <v>277</v>
      </c>
    </row>
    <row r="104" spans="1:5">
      <c r="A104" t="s">
        <v>280</v>
      </c>
      <c r="D104" t="s">
        <v>658</v>
      </c>
      <c r="E104" t="s">
        <v>279</v>
      </c>
    </row>
    <row r="105" spans="1:5">
      <c r="A105" t="s">
        <v>282</v>
      </c>
      <c r="D105" t="s">
        <v>659</v>
      </c>
      <c r="E105" t="s">
        <v>281</v>
      </c>
    </row>
    <row r="106" spans="1:5">
      <c r="A106" t="s">
        <v>284</v>
      </c>
      <c r="D106" t="s">
        <v>660</v>
      </c>
      <c r="E106" t="s">
        <v>283</v>
      </c>
    </row>
    <row r="107" spans="1:5">
      <c r="A107" t="s">
        <v>286</v>
      </c>
      <c r="D107" t="s">
        <v>661</v>
      </c>
      <c r="E107" t="s">
        <v>285</v>
      </c>
    </row>
    <row r="108" spans="1:5">
      <c r="A108" t="s">
        <v>288</v>
      </c>
      <c r="B108" t="s">
        <v>201</v>
      </c>
      <c r="C108" t="s">
        <v>573</v>
      </c>
      <c r="D108" t="s">
        <v>662</v>
      </c>
      <c r="E108" t="s">
        <v>287</v>
      </c>
    </row>
    <row r="109" spans="1:5">
      <c r="A109" t="s">
        <v>290</v>
      </c>
      <c r="D109" t="s">
        <v>663</v>
      </c>
      <c r="E109" t="s">
        <v>289</v>
      </c>
    </row>
    <row r="110" spans="1:5">
      <c r="A110" t="s">
        <v>292</v>
      </c>
      <c r="B110" t="s">
        <v>205</v>
      </c>
      <c r="C110" t="s">
        <v>265</v>
      </c>
      <c r="D110" t="s">
        <v>664</v>
      </c>
      <c r="E110" t="s">
        <v>291</v>
      </c>
    </row>
    <row r="111" spans="1:5">
      <c r="A111" t="s">
        <v>294</v>
      </c>
      <c r="B111" t="s">
        <v>483</v>
      </c>
      <c r="C111" t="s">
        <v>353</v>
      </c>
      <c r="D111" t="s">
        <v>665</v>
      </c>
      <c r="E111" t="s">
        <v>293</v>
      </c>
    </row>
    <row r="112" spans="1:5">
      <c r="A112" t="s">
        <v>298</v>
      </c>
      <c r="B112" t="s">
        <v>205</v>
      </c>
      <c r="C112" t="s">
        <v>265</v>
      </c>
      <c r="D112" t="s">
        <v>666</v>
      </c>
      <c r="E112" t="s">
        <v>297</v>
      </c>
    </row>
    <row r="113" spans="1:5">
      <c r="A113" t="s">
        <v>300</v>
      </c>
      <c r="B113" t="s">
        <v>612</v>
      </c>
      <c r="C113" t="s">
        <v>573</v>
      </c>
      <c r="D113" t="s">
        <v>667</v>
      </c>
      <c r="E113" t="s">
        <v>299</v>
      </c>
    </row>
    <row r="114" spans="1:5">
      <c r="A114" t="s">
        <v>302</v>
      </c>
      <c r="B114" t="s">
        <v>612</v>
      </c>
      <c r="C114" t="s">
        <v>573</v>
      </c>
      <c r="E114" t="s">
        <v>301</v>
      </c>
    </row>
    <row r="115" spans="1:5">
      <c r="A115" t="s">
        <v>304</v>
      </c>
      <c r="B115" t="s">
        <v>205</v>
      </c>
      <c r="C115" t="s">
        <v>265</v>
      </c>
      <c r="E115" t="s">
        <v>303</v>
      </c>
    </row>
    <row r="116" spans="1:5">
      <c r="A116" t="s">
        <v>306</v>
      </c>
      <c r="B116" t="s">
        <v>612</v>
      </c>
      <c r="C116" t="s">
        <v>265</v>
      </c>
      <c r="E116" t="s">
        <v>305</v>
      </c>
    </row>
    <row r="117" spans="1:5">
      <c r="A117" t="s">
        <v>308</v>
      </c>
      <c r="B117" t="s">
        <v>205</v>
      </c>
      <c r="C117" t="s">
        <v>265</v>
      </c>
      <c r="D117" t="s">
        <v>668</v>
      </c>
      <c r="E117" t="s">
        <v>307</v>
      </c>
    </row>
    <row r="118" spans="1:5">
      <c r="A118" t="s">
        <v>310</v>
      </c>
      <c r="B118" t="s">
        <v>343</v>
      </c>
      <c r="C118" t="s">
        <v>573</v>
      </c>
      <c r="E118" t="s">
        <v>309</v>
      </c>
    </row>
    <row r="119" spans="1:5">
      <c r="A119" t="s">
        <v>312</v>
      </c>
      <c r="B119" t="s">
        <v>612</v>
      </c>
      <c r="C119" t="s">
        <v>573</v>
      </c>
      <c r="E119" t="s">
        <v>311</v>
      </c>
    </row>
    <row r="120" spans="1:5">
      <c r="A120" t="s">
        <v>314</v>
      </c>
      <c r="B120" t="s">
        <v>201</v>
      </c>
      <c r="C120" t="s">
        <v>265</v>
      </c>
      <c r="D120" t="s">
        <v>624</v>
      </c>
      <c r="E120" t="s">
        <v>313</v>
      </c>
    </row>
    <row r="121" spans="1:5">
      <c r="A121" t="s">
        <v>316</v>
      </c>
      <c r="B121" t="s">
        <v>205</v>
      </c>
      <c r="C121" t="s">
        <v>573</v>
      </c>
      <c r="E121" t="s">
        <v>315</v>
      </c>
    </row>
    <row r="122" spans="1:5">
      <c r="A122" t="s">
        <v>318</v>
      </c>
      <c r="B122" t="s">
        <v>509</v>
      </c>
      <c r="C122" t="s">
        <v>353</v>
      </c>
      <c r="D122" t="s">
        <v>669</v>
      </c>
      <c r="E122" t="s">
        <v>317</v>
      </c>
    </row>
    <row r="123" spans="1:5">
      <c r="A123" t="s">
        <v>320</v>
      </c>
      <c r="B123" t="s">
        <v>205</v>
      </c>
      <c r="C123" t="s">
        <v>353</v>
      </c>
      <c r="E123" t="s">
        <v>319</v>
      </c>
    </row>
    <row r="124" spans="1:5">
      <c r="A124" t="s">
        <v>322</v>
      </c>
      <c r="B124" t="s">
        <v>201</v>
      </c>
      <c r="C124" t="s">
        <v>353</v>
      </c>
      <c r="D124" t="s">
        <v>670</v>
      </c>
      <c r="E124" t="s">
        <v>321</v>
      </c>
    </row>
    <row r="125" spans="1:5">
      <c r="A125" t="s">
        <v>324</v>
      </c>
      <c r="B125" t="s">
        <v>201</v>
      </c>
      <c r="C125" t="s">
        <v>353</v>
      </c>
      <c r="E125" t="s">
        <v>323</v>
      </c>
    </row>
    <row r="126" spans="1:5">
      <c r="A126" t="s">
        <v>326</v>
      </c>
      <c r="B126" t="s">
        <v>343</v>
      </c>
      <c r="C126" t="s">
        <v>265</v>
      </c>
      <c r="E126" t="s">
        <v>325</v>
      </c>
    </row>
    <row r="127" spans="1:5">
      <c r="A127" t="s">
        <v>328</v>
      </c>
      <c r="B127" t="s">
        <v>201</v>
      </c>
      <c r="C127" t="s">
        <v>265</v>
      </c>
      <c r="E127" t="s">
        <v>327</v>
      </c>
    </row>
    <row r="128" spans="1:5">
      <c r="A128" t="s">
        <v>330</v>
      </c>
      <c r="B128" t="s">
        <v>612</v>
      </c>
      <c r="C128" t="s">
        <v>265</v>
      </c>
      <c r="E128" t="s">
        <v>329</v>
      </c>
    </row>
    <row r="129" spans="1:5">
      <c r="A129" t="s">
        <v>332</v>
      </c>
      <c r="E129" t="s">
        <v>331</v>
      </c>
    </row>
    <row r="130" spans="1:5">
      <c r="A130" t="s">
        <v>334</v>
      </c>
      <c r="B130" t="s">
        <v>201</v>
      </c>
      <c r="C130" t="s">
        <v>353</v>
      </c>
      <c r="D130" t="s">
        <v>671</v>
      </c>
      <c r="E130" t="s">
        <v>333</v>
      </c>
    </row>
    <row r="131" spans="1:5">
      <c r="A131" t="s">
        <v>336</v>
      </c>
      <c r="B131" t="s">
        <v>612</v>
      </c>
      <c r="C131" t="s">
        <v>353</v>
      </c>
      <c r="D131" t="s">
        <v>672</v>
      </c>
      <c r="E131" t="s">
        <v>335</v>
      </c>
    </row>
    <row r="132" spans="1:5">
      <c r="A132" t="s">
        <v>338</v>
      </c>
      <c r="B132" t="s">
        <v>509</v>
      </c>
      <c r="C132" t="s">
        <v>347</v>
      </c>
      <c r="D132" t="s">
        <v>673</v>
      </c>
      <c r="E132" t="s">
        <v>337</v>
      </c>
    </row>
    <row r="133" spans="1:5">
      <c r="A133" t="s">
        <v>340</v>
      </c>
      <c r="B133" t="s">
        <v>612</v>
      </c>
      <c r="C133" t="s">
        <v>573</v>
      </c>
      <c r="E133" t="s">
        <v>339</v>
      </c>
    </row>
    <row r="134" spans="1:5">
      <c r="A134" t="s">
        <v>342</v>
      </c>
      <c r="B134" t="s">
        <v>343</v>
      </c>
      <c r="C134" t="s">
        <v>573</v>
      </c>
      <c r="E134" t="s">
        <v>341</v>
      </c>
    </row>
    <row r="135" spans="1:5">
      <c r="A135" t="s">
        <v>344</v>
      </c>
      <c r="E135" t="s">
        <v>343</v>
      </c>
    </row>
    <row r="136" spans="1:5">
      <c r="A136" t="s">
        <v>346</v>
      </c>
      <c r="E136" t="s">
        <v>345</v>
      </c>
    </row>
    <row r="137" spans="1:5" ht="409.5">
      <c r="A137" t="s">
        <v>348</v>
      </c>
      <c r="D137" s="2" t="s">
        <v>652</v>
      </c>
      <c r="E137" t="s">
        <v>347</v>
      </c>
    </row>
    <row r="138" spans="1:5">
      <c r="A138" t="s">
        <v>350</v>
      </c>
      <c r="B138" t="s">
        <v>205</v>
      </c>
      <c r="C138" t="s">
        <v>265</v>
      </c>
      <c r="E138" t="s">
        <v>349</v>
      </c>
    </row>
    <row r="139" spans="1:5">
      <c r="A139" t="s">
        <v>352</v>
      </c>
      <c r="B139" t="s">
        <v>483</v>
      </c>
      <c r="C139" t="s">
        <v>573</v>
      </c>
      <c r="E139" t="s">
        <v>351</v>
      </c>
    </row>
    <row r="140" spans="1:5" ht="409.5">
      <c r="A140" t="s">
        <v>354</v>
      </c>
      <c r="D140" s="2" t="s">
        <v>652</v>
      </c>
      <c r="E140" t="s">
        <v>353</v>
      </c>
    </row>
    <row r="141" spans="1:5" ht="409.5">
      <c r="A141" t="s">
        <v>356</v>
      </c>
      <c r="D141" s="2" t="s">
        <v>652</v>
      </c>
      <c r="E141" t="s">
        <v>355</v>
      </c>
    </row>
    <row r="142" spans="1:5">
      <c r="A142" t="s">
        <v>358</v>
      </c>
      <c r="B142" t="s">
        <v>509</v>
      </c>
      <c r="C142" t="s">
        <v>353</v>
      </c>
      <c r="D142" t="s">
        <v>624</v>
      </c>
      <c r="E142" t="s">
        <v>357</v>
      </c>
    </row>
    <row r="143" spans="1:5">
      <c r="A143" t="s">
        <v>360</v>
      </c>
      <c r="D143" t="s">
        <v>674</v>
      </c>
      <c r="E143" t="s">
        <v>359</v>
      </c>
    </row>
    <row r="144" spans="1:5">
      <c r="A144" t="s">
        <v>362</v>
      </c>
      <c r="B144" t="s">
        <v>205</v>
      </c>
      <c r="C144" t="s">
        <v>265</v>
      </c>
      <c r="D144" t="s">
        <v>675</v>
      </c>
      <c r="E144" t="s">
        <v>361</v>
      </c>
    </row>
    <row r="145" spans="1:5">
      <c r="A145" t="s">
        <v>364</v>
      </c>
      <c r="B145" t="s">
        <v>205</v>
      </c>
      <c r="C145" t="s">
        <v>265</v>
      </c>
      <c r="D145" t="s">
        <v>676</v>
      </c>
      <c r="E145" t="s">
        <v>363</v>
      </c>
    </row>
    <row r="146" spans="1:5">
      <c r="A146" t="s">
        <v>366</v>
      </c>
      <c r="B146" t="s">
        <v>205</v>
      </c>
      <c r="C146" t="s">
        <v>265</v>
      </c>
      <c r="D146" t="s">
        <v>677</v>
      </c>
      <c r="E146" t="s">
        <v>365</v>
      </c>
    </row>
    <row r="147" spans="1:5">
      <c r="A147" t="s">
        <v>368</v>
      </c>
      <c r="B147" t="s">
        <v>201</v>
      </c>
      <c r="C147" t="s">
        <v>265</v>
      </c>
      <c r="D147" t="s">
        <v>678</v>
      </c>
      <c r="E147" t="s">
        <v>367</v>
      </c>
    </row>
    <row r="148" spans="1:5">
      <c r="A148" t="s">
        <v>370</v>
      </c>
      <c r="B148" t="s">
        <v>343</v>
      </c>
      <c r="C148" t="s">
        <v>265</v>
      </c>
      <c r="E148" t="s">
        <v>369</v>
      </c>
    </row>
    <row r="149" spans="1:5">
      <c r="A149" t="s">
        <v>372</v>
      </c>
      <c r="B149" t="s">
        <v>612</v>
      </c>
      <c r="C149" t="s">
        <v>353</v>
      </c>
      <c r="E149" t="s">
        <v>371</v>
      </c>
    </row>
    <row r="150" spans="1:5">
      <c r="A150" t="s">
        <v>374</v>
      </c>
      <c r="B150" t="s">
        <v>205</v>
      </c>
      <c r="C150" t="s">
        <v>265</v>
      </c>
      <c r="E150" t="s">
        <v>373</v>
      </c>
    </row>
    <row r="151" spans="1:5">
      <c r="A151" t="s">
        <v>376</v>
      </c>
      <c r="B151" t="s">
        <v>205</v>
      </c>
      <c r="C151" t="s">
        <v>573</v>
      </c>
      <c r="D151" t="s">
        <v>679</v>
      </c>
      <c r="E151" t="s">
        <v>375</v>
      </c>
    </row>
    <row r="152" spans="1:5">
      <c r="A152" t="s">
        <v>378</v>
      </c>
      <c r="B152" t="s">
        <v>509</v>
      </c>
      <c r="C152" t="s">
        <v>347</v>
      </c>
      <c r="E152" t="s">
        <v>377</v>
      </c>
    </row>
    <row r="153" spans="1:5">
      <c r="A153" t="s">
        <v>380</v>
      </c>
      <c r="B153" t="s">
        <v>483</v>
      </c>
      <c r="C153" t="s">
        <v>573</v>
      </c>
      <c r="E153" t="s">
        <v>379</v>
      </c>
    </row>
    <row r="154" spans="1:5">
      <c r="A154" t="s">
        <v>382</v>
      </c>
      <c r="D154" t="s">
        <v>680</v>
      </c>
      <c r="E154" t="s">
        <v>381</v>
      </c>
    </row>
    <row r="155" spans="1:5">
      <c r="A155" t="s">
        <v>384</v>
      </c>
      <c r="B155" t="s">
        <v>343</v>
      </c>
      <c r="C155" t="s">
        <v>573</v>
      </c>
      <c r="E155" t="s">
        <v>383</v>
      </c>
    </row>
    <row r="156" spans="1:5">
      <c r="A156" t="s">
        <v>386</v>
      </c>
      <c r="B156" t="s">
        <v>201</v>
      </c>
      <c r="C156" t="s">
        <v>573</v>
      </c>
      <c r="D156" t="s">
        <v>681</v>
      </c>
      <c r="E156" t="s">
        <v>385</v>
      </c>
    </row>
    <row r="157" spans="1:5" ht="409.5">
      <c r="A157" t="s">
        <v>388</v>
      </c>
      <c r="D157" s="2" t="s">
        <v>652</v>
      </c>
      <c r="E157" t="s">
        <v>387</v>
      </c>
    </row>
    <row r="158" spans="1:5">
      <c r="A158" t="s">
        <v>390</v>
      </c>
      <c r="B158" t="s">
        <v>205</v>
      </c>
      <c r="C158" t="s">
        <v>573</v>
      </c>
      <c r="E158" t="s">
        <v>389</v>
      </c>
    </row>
    <row r="159" spans="1:5">
      <c r="A159" t="s">
        <v>392</v>
      </c>
      <c r="B159" t="s">
        <v>509</v>
      </c>
      <c r="C159" t="s">
        <v>347</v>
      </c>
      <c r="E159" t="s">
        <v>391</v>
      </c>
    </row>
    <row r="160" spans="1:5">
      <c r="A160" t="s">
        <v>394</v>
      </c>
      <c r="B160" t="s">
        <v>612</v>
      </c>
      <c r="C160" t="s">
        <v>265</v>
      </c>
      <c r="D160" t="s">
        <v>682</v>
      </c>
      <c r="E160" t="s">
        <v>393</v>
      </c>
    </row>
    <row r="161" spans="1:5" ht="409.5">
      <c r="A161" t="s">
        <v>396</v>
      </c>
      <c r="B161" t="s">
        <v>201</v>
      </c>
      <c r="C161" t="s">
        <v>353</v>
      </c>
      <c r="D161" s="2" t="s">
        <v>683</v>
      </c>
      <c r="E161" t="s">
        <v>395</v>
      </c>
    </row>
    <row r="162" spans="1:5">
      <c r="A162" t="s">
        <v>398</v>
      </c>
      <c r="D162" t="s">
        <v>684</v>
      </c>
      <c r="E162" t="s">
        <v>397</v>
      </c>
    </row>
    <row r="163" spans="1:5">
      <c r="A163" t="s">
        <v>400</v>
      </c>
      <c r="B163" t="s">
        <v>205</v>
      </c>
      <c r="C163" t="s">
        <v>573</v>
      </c>
      <c r="D163" t="s">
        <v>685</v>
      </c>
      <c r="E163" t="s">
        <v>399</v>
      </c>
    </row>
    <row r="164" spans="1:5">
      <c r="A164" t="s">
        <v>402</v>
      </c>
      <c r="B164" t="s">
        <v>201</v>
      </c>
      <c r="C164" t="s">
        <v>573</v>
      </c>
      <c r="D164" t="s">
        <v>686</v>
      </c>
      <c r="E164" t="s">
        <v>401</v>
      </c>
    </row>
    <row r="165" spans="1:5">
      <c r="A165" t="s">
        <v>404</v>
      </c>
      <c r="B165" t="s">
        <v>201</v>
      </c>
      <c r="C165" t="s">
        <v>265</v>
      </c>
      <c r="E165" t="s">
        <v>403</v>
      </c>
    </row>
    <row r="166" spans="1:5">
      <c r="A166" t="s">
        <v>406</v>
      </c>
      <c r="B166" t="s">
        <v>509</v>
      </c>
      <c r="C166" t="s">
        <v>347</v>
      </c>
      <c r="E166" t="s">
        <v>405</v>
      </c>
    </row>
    <row r="167" spans="1:5">
      <c r="A167" t="s">
        <v>408</v>
      </c>
      <c r="B167" t="s">
        <v>509</v>
      </c>
      <c r="C167" t="s">
        <v>353</v>
      </c>
      <c r="D167" t="s">
        <v>687</v>
      </c>
      <c r="E167" t="s">
        <v>407</v>
      </c>
    </row>
    <row r="168" spans="1:5">
      <c r="A168" t="s">
        <v>410</v>
      </c>
      <c r="B168" t="s">
        <v>509</v>
      </c>
      <c r="C168" t="s">
        <v>573</v>
      </c>
      <c r="E168" t="s">
        <v>409</v>
      </c>
    </row>
    <row r="169" spans="1:5">
      <c r="A169" t="s">
        <v>412</v>
      </c>
      <c r="B169" t="s">
        <v>509</v>
      </c>
      <c r="C169" t="s">
        <v>347</v>
      </c>
      <c r="E169" t="s">
        <v>411</v>
      </c>
    </row>
    <row r="170" spans="1:5">
      <c r="A170" t="s">
        <v>414</v>
      </c>
      <c r="B170" t="s">
        <v>201</v>
      </c>
      <c r="C170" t="s">
        <v>573</v>
      </c>
      <c r="E170" t="s">
        <v>413</v>
      </c>
    </row>
    <row r="171" spans="1:5">
      <c r="A171" t="s">
        <v>416</v>
      </c>
      <c r="D171" t="s">
        <v>688</v>
      </c>
      <c r="E171" t="s">
        <v>415</v>
      </c>
    </row>
    <row r="172" spans="1:5">
      <c r="A172" t="s">
        <v>418</v>
      </c>
      <c r="B172" t="s">
        <v>509</v>
      </c>
      <c r="C172" t="s">
        <v>353</v>
      </c>
      <c r="D172" t="s">
        <v>624</v>
      </c>
      <c r="E172" t="s">
        <v>417</v>
      </c>
    </row>
    <row r="173" spans="1:5">
      <c r="A173" t="s">
        <v>420</v>
      </c>
      <c r="B173" t="s">
        <v>201</v>
      </c>
      <c r="C173" t="s">
        <v>265</v>
      </c>
      <c r="E173" t="s">
        <v>419</v>
      </c>
    </row>
    <row r="174" spans="1:5">
      <c r="A174" t="s">
        <v>422</v>
      </c>
      <c r="B174" t="s">
        <v>509</v>
      </c>
      <c r="C174" t="s">
        <v>347</v>
      </c>
      <c r="E174" t="s">
        <v>421</v>
      </c>
    </row>
    <row r="175" spans="1:5">
      <c r="A175" t="s">
        <v>424</v>
      </c>
      <c r="B175" t="s">
        <v>509</v>
      </c>
      <c r="C175" t="s">
        <v>353</v>
      </c>
      <c r="D175" t="s">
        <v>689</v>
      </c>
      <c r="E175" t="s">
        <v>423</v>
      </c>
    </row>
    <row r="176" spans="1:5">
      <c r="A176" t="s">
        <v>426</v>
      </c>
      <c r="B176" t="s">
        <v>343</v>
      </c>
      <c r="C176" t="s">
        <v>353</v>
      </c>
      <c r="D176" t="s">
        <v>690</v>
      </c>
      <c r="E176" t="s">
        <v>425</v>
      </c>
    </row>
    <row r="177" spans="1:5">
      <c r="A177" t="s">
        <v>428</v>
      </c>
      <c r="B177" t="s">
        <v>205</v>
      </c>
      <c r="C177" t="s">
        <v>265</v>
      </c>
      <c r="D177" t="s">
        <v>691</v>
      </c>
      <c r="E177" t="s">
        <v>427</v>
      </c>
    </row>
    <row r="178" spans="1:5">
      <c r="A178" t="s">
        <v>430</v>
      </c>
      <c r="B178" t="s">
        <v>205</v>
      </c>
      <c r="C178" t="s">
        <v>265</v>
      </c>
      <c r="E178" t="s">
        <v>429</v>
      </c>
    </row>
    <row r="179" spans="1:5">
      <c r="A179" t="s">
        <v>432</v>
      </c>
      <c r="B179" t="s">
        <v>483</v>
      </c>
      <c r="C179" t="s">
        <v>353</v>
      </c>
      <c r="D179" t="s">
        <v>692</v>
      </c>
      <c r="E179" t="s">
        <v>431</v>
      </c>
    </row>
    <row r="180" spans="1:5">
      <c r="A180" t="s">
        <v>434</v>
      </c>
      <c r="B180" t="s">
        <v>201</v>
      </c>
      <c r="C180" t="s">
        <v>265</v>
      </c>
      <c r="D180" t="s">
        <v>618</v>
      </c>
      <c r="E180" t="s">
        <v>433</v>
      </c>
    </row>
    <row r="181" spans="1:5">
      <c r="A181" t="s">
        <v>436</v>
      </c>
      <c r="B181" t="s">
        <v>201</v>
      </c>
      <c r="C181" t="s">
        <v>265</v>
      </c>
      <c r="D181" t="s">
        <v>624</v>
      </c>
      <c r="E181" t="s">
        <v>435</v>
      </c>
    </row>
    <row r="182" spans="1:5">
      <c r="A182" t="s">
        <v>438</v>
      </c>
      <c r="E182" t="s">
        <v>437</v>
      </c>
    </row>
    <row r="183" spans="1:5">
      <c r="A183" t="s">
        <v>440</v>
      </c>
      <c r="B183" t="s">
        <v>612</v>
      </c>
      <c r="C183" t="s">
        <v>265</v>
      </c>
      <c r="E183" t="s">
        <v>439</v>
      </c>
    </row>
    <row r="184" spans="1:5">
      <c r="A184" t="s">
        <v>442</v>
      </c>
      <c r="D184" t="s">
        <v>693</v>
      </c>
      <c r="E184" t="s">
        <v>441</v>
      </c>
    </row>
    <row r="185" spans="1:5">
      <c r="A185" t="s">
        <v>444</v>
      </c>
      <c r="B185" t="s">
        <v>612</v>
      </c>
      <c r="C185" t="s">
        <v>353</v>
      </c>
      <c r="D185" t="s">
        <v>618</v>
      </c>
      <c r="E185" t="s">
        <v>443</v>
      </c>
    </row>
    <row r="186" spans="1:5">
      <c r="A186" t="s">
        <v>446</v>
      </c>
      <c r="B186" t="s">
        <v>343</v>
      </c>
      <c r="C186" t="s">
        <v>265</v>
      </c>
      <c r="E186" t="s">
        <v>445</v>
      </c>
    </row>
    <row r="187" spans="1:5">
      <c r="A187" t="s">
        <v>448</v>
      </c>
      <c r="B187" t="s">
        <v>343</v>
      </c>
      <c r="C187" t="s">
        <v>573</v>
      </c>
      <c r="D187" t="s">
        <v>694</v>
      </c>
      <c r="E187" t="s">
        <v>447</v>
      </c>
    </row>
    <row r="188" spans="1:5">
      <c r="A188" t="s">
        <v>450</v>
      </c>
      <c r="B188" t="s">
        <v>201</v>
      </c>
      <c r="C188" t="s">
        <v>573</v>
      </c>
      <c r="E188" t="s">
        <v>449</v>
      </c>
    </row>
    <row r="189" spans="1:5">
      <c r="A189" t="s">
        <v>452</v>
      </c>
      <c r="B189" t="s">
        <v>201</v>
      </c>
      <c r="C189" t="s">
        <v>265</v>
      </c>
      <c r="D189" t="s">
        <v>681</v>
      </c>
      <c r="E189" t="s">
        <v>451</v>
      </c>
    </row>
    <row r="190" spans="1:5">
      <c r="A190" t="s">
        <v>454</v>
      </c>
      <c r="B190" t="s">
        <v>201</v>
      </c>
      <c r="C190" t="s">
        <v>353</v>
      </c>
      <c r="E190" t="s">
        <v>453</v>
      </c>
    </row>
    <row r="191" spans="1:5">
      <c r="A191" t="s">
        <v>456</v>
      </c>
      <c r="B191" t="s">
        <v>205</v>
      </c>
      <c r="C191" t="s">
        <v>265</v>
      </c>
      <c r="E191" t="s">
        <v>455</v>
      </c>
    </row>
    <row r="192" spans="1:5">
      <c r="A192" t="s">
        <v>458</v>
      </c>
      <c r="D192" t="s">
        <v>695</v>
      </c>
      <c r="E192" t="s">
        <v>457</v>
      </c>
    </row>
    <row r="193" spans="1:5">
      <c r="A193" t="s">
        <v>460</v>
      </c>
      <c r="B193" t="s">
        <v>343</v>
      </c>
      <c r="C193" t="s">
        <v>265</v>
      </c>
      <c r="D193" t="s">
        <v>696</v>
      </c>
      <c r="E193" t="s">
        <v>459</v>
      </c>
    </row>
    <row r="194" spans="1:5">
      <c r="A194" t="s">
        <v>462</v>
      </c>
      <c r="B194" t="s">
        <v>201</v>
      </c>
      <c r="C194" t="s">
        <v>347</v>
      </c>
      <c r="E194" t="s">
        <v>461</v>
      </c>
    </row>
    <row r="195" spans="1:5">
      <c r="A195" t="s">
        <v>464</v>
      </c>
      <c r="B195" t="s">
        <v>205</v>
      </c>
      <c r="C195" t="s">
        <v>265</v>
      </c>
      <c r="D195" t="s">
        <v>697</v>
      </c>
      <c r="E195" t="s">
        <v>463</v>
      </c>
    </row>
    <row r="196" spans="1:5">
      <c r="A196" t="s">
        <v>466</v>
      </c>
      <c r="B196" t="s">
        <v>343</v>
      </c>
      <c r="C196" t="s">
        <v>573</v>
      </c>
      <c r="D196" t="s">
        <v>698</v>
      </c>
      <c r="E196" t="s">
        <v>465</v>
      </c>
    </row>
    <row r="197" spans="1:5">
      <c r="A197" t="s">
        <v>468</v>
      </c>
      <c r="B197" t="s">
        <v>612</v>
      </c>
      <c r="C197" t="s">
        <v>353</v>
      </c>
      <c r="D197" t="s">
        <v>673</v>
      </c>
      <c r="E197" t="s">
        <v>467</v>
      </c>
    </row>
    <row r="198" spans="1:5">
      <c r="A198" t="s">
        <v>470</v>
      </c>
      <c r="D198" t="s">
        <v>699</v>
      </c>
      <c r="E198" t="s">
        <v>469</v>
      </c>
    </row>
    <row r="199" spans="1:5">
      <c r="A199" t="s">
        <v>472</v>
      </c>
      <c r="D199" t="s">
        <v>700</v>
      </c>
      <c r="E199" t="s">
        <v>471</v>
      </c>
    </row>
    <row r="200" spans="1:5">
      <c r="A200" t="s">
        <v>474</v>
      </c>
      <c r="B200" t="s">
        <v>201</v>
      </c>
      <c r="C200" t="s">
        <v>265</v>
      </c>
      <c r="E200" t="s">
        <v>473</v>
      </c>
    </row>
    <row r="201" spans="1:5">
      <c r="A201" t="s">
        <v>476</v>
      </c>
      <c r="B201" t="s">
        <v>612</v>
      </c>
      <c r="C201" t="s">
        <v>265</v>
      </c>
      <c r="E201" t="s">
        <v>475</v>
      </c>
    </row>
    <row r="202" spans="1:5">
      <c r="A202" t="s">
        <v>478</v>
      </c>
      <c r="B202" t="s">
        <v>205</v>
      </c>
      <c r="C202" t="s">
        <v>265</v>
      </c>
      <c r="D202" t="s">
        <v>701</v>
      </c>
      <c r="E202" t="s">
        <v>477</v>
      </c>
    </row>
    <row r="203" spans="1:5">
      <c r="A203" t="s">
        <v>480</v>
      </c>
      <c r="B203" t="s">
        <v>205</v>
      </c>
      <c r="C203" t="s">
        <v>265</v>
      </c>
      <c r="E203" t="s">
        <v>479</v>
      </c>
    </row>
    <row r="204" spans="1:5">
      <c r="A204" t="s">
        <v>482</v>
      </c>
      <c r="B204" t="s">
        <v>509</v>
      </c>
      <c r="C204" t="s">
        <v>347</v>
      </c>
      <c r="E204" t="s">
        <v>481</v>
      </c>
    </row>
    <row r="205" spans="1:5">
      <c r="A205" t="s">
        <v>484</v>
      </c>
      <c r="D205" t="s">
        <v>702</v>
      </c>
      <c r="E205" t="s">
        <v>483</v>
      </c>
    </row>
    <row r="206" spans="1:5">
      <c r="A206" t="s">
        <v>486</v>
      </c>
      <c r="B206" t="s">
        <v>612</v>
      </c>
      <c r="C206" t="s">
        <v>265</v>
      </c>
      <c r="E206" t="s">
        <v>485</v>
      </c>
    </row>
    <row r="207" spans="1:5">
      <c r="A207" t="s">
        <v>488</v>
      </c>
      <c r="B207" t="s">
        <v>509</v>
      </c>
      <c r="C207" t="s">
        <v>347</v>
      </c>
      <c r="D207" t="s">
        <v>703</v>
      </c>
      <c r="E207" t="s">
        <v>487</v>
      </c>
    </row>
    <row r="208" spans="1:5">
      <c r="A208" t="s">
        <v>490</v>
      </c>
      <c r="B208" t="s">
        <v>509</v>
      </c>
      <c r="C208" t="s">
        <v>353</v>
      </c>
      <c r="E208" t="s">
        <v>489</v>
      </c>
    </row>
    <row r="209" spans="1:5">
      <c r="A209" t="s">
        <v>492</v>
      </c>
      <c r="B209" t="s">
        <v>201</v>
      </c>
      <c r="C209" t="s">
        <v>265</v>
      </c>
      <c r="D209" t="s">
        <v>624</v>
      </c>
      <c r="E209" t="s">
        <v>491</v>
      </c>
    </row>
    <row r="210" spans="1:5">
      <c r="A210" t="s">
        <v>494</v>
      </c>
      <c r="B210" t="s">
        <v>201</v>
      </c>
      <c r="C210" t="s">
        <v>353</v>
      </c>
      <c r="E210" t="s">
        <v>493</v>
      </c>
    </row>
    <row r="211" spans="1:5">
      <c r="A211" t="s">
        <v>496</v>
      </c>
      <c r="B211" t="s">
        <v>509</v>
      </c>
      <c r="C211" t="s">
        <v>347</v>
      </c>
      <c r="E211" t="s">
        <v>495</v>
      </c>
    </row>
    <row r="212" spans="1:5">
      <c r="A212" t="s">
        <v>498</v>
      </c>
      <c r="B212" t="s">
        <v>343</v>
      </c>
      <c r="C212" t="s">
        <v>573</v>
      </c>
      <c r="E212" t="s">
        <v>497</v>
      </c>
    </row>
    <row r="213" spans="1:5">
      <c r="A213" t="s">
        <v>500</v>
      </c>
      <c r="B213" t="s">
        <v>205</v>
      </c>
      <c r="C213" t="s">
        <v>265</v>
      </c>
      <c r="E213" t="s">
        <v>499</v>
      </c>
    </row>
    <row r="214" spans="1:5">
      <c r="A214" t="s">
        <v>502</v>
      </c>
      <c r="B214" t="s">
        <v>509</v>
      </c>
      <c r="C214" t="s">
        <v>347</v>
      </c>
      <c r="D214" t="s">
        <v>704</v>
      </c>
      <c r="E214" t="s">
        <v>501</v>
      </c>
    </row>
    <row r="215" spans="1:5">
      <c r="A215" t="s">
        <v>504</v>
      </c>
      <c r="B215" t="s">
        <v>205</v>
      </c>
      <c r="C215" t="s">
        <v>573</v>
      </c>
      <c r="D215" t="s">
        <v>705</v>
      </c>
      <c r="E215" t="s">
        <v>503</v>
      </c>
    </row>
    <row r="216" spans="1:5">
      <c r="A216" t="s">
        <v>506</v>
      </c>
      <c r="E216" t="s">
        <v>505</v>
      </c>
    </row>
    <row r="217" spans="1:5">
      <c r="A217" t="s">
        <v>508</v>
      </c>
      <c r="B217" t="s">
        <v>509</v>
      </c>
      <c r="C217" t="s">
        <v>347</v>
      </c>
      <c r="D217" t="s">
        <v>618</v>
      </c>
      <c r="E217" t="s">
        <v>507</v>
      </c>
    </row>
    <row r="218" spans="1:5">
      <c r="A218" t="s">
        <v>510</v>
      </c>
      <c r="D218" t="s">
        <v>706</v>
      </c>
      <c r="E218" t="s">
        <v>509</v>
      </c>
    </row>
    <row r="219" spans="1:5">
      <c r="A219" t="s">
        <v>512</v>
      </c>
      <c r="D219" t="s">
        <v>707</v>
      </c>
      <c r="E219" t="s">
        <v>511</v>
      </c>
    </row>
    <row r="220" spans="1:5">
      <c r="A220" t="s">
        <v>514</v>
      </c>
      <c r="B220" t="s">
        <v>509</v>
      </c>
      <c r="C220" t="s">
        <v>353</v>
      </c>
      <c r="D220" t="s">
        <v>708</v>
      </c>
      <c r="E220" t="s">
        <v>709</v>
      </c>
    </row>
    <row r="221" spans="1:5">
      <c r="A221" t="s">
        <v>516</v>
      </c>
      <c r="B221" t="s">
        <v>343</v>
      </c>
      <c r="C221" t="s">
        <v>573</v>
      </c>
      <c r="D221" t="s">
        <v>710</v>
      </c>
      <c r="E221" t="s">
        <v>515</v>
      </c>
    </row>
    <row r="222" spans="1:5">
      <c r="A222" t="s">
        <v>518</v>
      </c>
      <c r="B222" t="s">
        <v>205</v>
      </c>
      <c r="C222" t="s">
        <v>265</v>
      </c>
      <c r="D222" t="s">
        <v>711</v>
      </c>
      <c r="E222" t="s">
        <v>517</v>
      </c>
    </row>
    <row r="223" spans="1:5">
      <c r="A223" t="s">
        <v>520</v>
      </c>
      <c r="B223" t="s">
        <v>205</v>
      </c>
      <c r="C223" t="s">
        <v>265</v>
      </c>
      <c r="D223" t="s">
        <v>712</v>
      </c>
      <c r="E223" t="s">
        <v>519</v>
      </c>
    </row>
    <row r="224" spans="1:5">
      <c r="A224" t="s">
        <v>522</v>
      </c>
      <c r="B224" t="s">
        <v>205</v>
      </c>
      <c r="C224" t="s">
        <v>265</v>
      </c>
      <c r="D224" t="s">
        <v>669</v>
      </c>
      <c r="E224" t="s">
        <v>521</v>
      </c>
    </row>
    <row r="225" spans="1:5">
      <c r="A225" t="s">
        <v>524</v>
      </c>
      <c r="B225" t="s">
        <v>509</v>
      </c>
      <c r="C225" t="s">
        <v>353</v>
      </c>
      <c r="D225" t="s">
        <v>713</v>
      </c>
      <c r="E225" t="s">
        <v>523</v>
      </c>
    </row>
    <row r="226" spans="1:5">
      <c r="A226" t="s">
        <v>526</v>
      </c>
      <c r="B226" t="s">
        <v>343</v>
      </c>
      <c r="C226" t="s">
        <v>265</v>
      </c>
      <c r="E226" t="s">
        <v>525</v>
      </c>
    </row>
    <row r="227" spans="1:5">
      <c r="A227" t="s">
        <v>528</v>
      </c>
      <c r="B227" t="s">
        <v>509</v>
      </c>
      <c r="C227" t="s">
        <v>265</v>
      </c>
      <c r="E227" t="s">
        <v>527</v>
      </c>
    </row>
    <row r="228" spans="1:5">
      <c r="A228" t="s">
        <v>530</v>
      </c>
      <c r="B228" t="s">
        <v>612</v>
      </c>
      <c r="C228" t="s">
        <v>347</v>
      </c>
      <c r="D228" t="s">
        <v>714</v>
      </c>
      <c r="E228" t="s">
        <v>529</v>
      </c>
    </row>
    <row r="229" spans="1:5">
      <c r="A229" t="s">
        <v>532</v>
      </c>
      <c r="B229" t="s">
        <v>343</v>
      </c>
      <c r="C229" t="s">
        <v>265</v>
      </c>
      <c r="E229" t="s">
        <v>531</v>
      </c>
    </row>
    <row r="230" spans="1:5">
      <c r="A230" t="s">
        <v>534</v>
      </c>
      <c r="B230" t="s">
        <v>509</v>
      </c>
      <c r="C230" t="s">
        <v>347</v>
      </c>
      <c r="E230" t="s">
        <v>533</v>
      </c>
    </row>
    <row r="231" spans="1:5">
      <c r="A231" t="s">
        <v>536</v>
      </c>
      <c r="D231" t="s">
        <v>715</v>
      </c>
      <c r="E231" t="s">
        <v>716</v>
      </c>
    </row>
    <row r="232" spans="1:5">
      <c r="A232" t="s">
        <v>538</v>
      </c>
      <c r="D232" t="s">
        <v>717</v>
      </c>
      <c r="E232" t="s">
        <v>718</v>
      </c>
    </row>
    <row r="233" spans="1:5">
      <c r="A233" t="s">
        <v>540</v>
      </c>
      <c r="B233" t="s">
        <v>509</v>
      </c>
      <c r="C233" t="s">
        <v>353</v>
      </c>
      <c r="E233" t="s">
        <v>539</v>
      </c>
    </row>
    <row r="234" spans="1:5">
      <c r="A234" t="s">
        <v>542</v>
      </c>
      <c r="B234" t="s">
        <v>201</v>
      </c>
      <c r="C234" t="s">
        <v>573</v>
      </c>
      <c r="D234" t="s">
        <v>719</v>
      </c>
      <c r="E234" t="s">
        <v>541</v>
      </c>
    </row>
    <row r="235" spans="1:5">
      <c r="A235" t="s">
        <v>544</v>
      </c>
      <c r="B235" t="s">
        <v>205</v>
      </c>
      <c r="C235" t="s">
        <v>353</v>
      </c>
      <c r="E235" t="s">
        <v>543</v>
      </c>
    </row>
    <row r="236" spans="1:5">
      <c r="A236" t="s">
        <v>546</v>
      </c>
      <c r="B236" t="s">
        <v>205</v>
      </c>
      <c r="C236" t="s">
        <v>573</v>
      </c>
      <c r="D236" t="s">
        <v>720</v>
      </c>
      <c r="E236" t="s">
        <v>545</v>
      </c>
    </row>
    <row r="237" spans="1:5">
      <c r="A237" t="s">
        <v>548</v>
      </c>
      <c r="D237" t="s">
        <v>721</v>
      </c>
      <c r="E237" t="s">
        <v>722</v>
      </c>
    </row>
    <row r="238" spans="1:5">
      <c r="A238" t="s">
        <v>550</v>
      </c>
      <c r="B238" t="s">
        <v>201</v>
      </c>
      <c r="C238" t="s">
        <v>353</v>
      </c>
      <c r="E238" t="s">
        <v>549</v>
      </c>
    </row>
    <row r="239" spans="1:5">
      <c r="A239" t="s">
        <v>552</v>
      </c>
      <c r="D239" t="s">
        <v>723</v>
      </c>
      <c r="E239" t="s">
        <v>551</v>
      </c>
    </row>
    <row r="240" spans="1:5">
      <c r="A240" t="s">
        <v>554</v>
      </c>
      <c r="B240" t="s">
        <v>201</v>
      </c>
      <c r="C240" t="s">
        <v>573</v>
      </c>
      <c r="D240" t="s">
        <v>618</v>
      </c>
      <c r="E240" t="s">
        <v>553</v>
      </c>
    </row>
    <row r="241" spans="1:5">
      <c r="A241" t="s">
        <v>556</v>
      </c>
      <c r="D241" t="s">
        <v>724</v>
      </c>
      <c r="E241" t="s">
        <v>555</v>
      </c>
    </row>
    <row r="242" spans="1:5">
      <c r="A242" t="s">
        <v>558</v>
      </c>
      <c r="D242" t="s">
        <v>725</v>
      </c>
      <c r="E242" t="s">
        <v>726</v>
      </c>
    </row>
    <row r="243" spans="1:5">
      <c r="A243" t="s">
        <v>560</v>
      </c>
      <c r="B243" t="s">
        <v>343</v>
      </c>
      <c r="C243" t="s">
        <v>265</v>
      </c>
      <c r="E243" t="s">
        <v>559</v>
      </c>
    </row>
    <row r="244" spans="1:5">
      <c r="A244" t="s">
        <v>562</v>
      </c>
      <c r="B244" t="s">
        <v>612</v>
      </c>
      <c r="C244" t="s">
        <v>353</v>
      </c>
      <c r="E244" t="s">
        <v>561</v>
      </c>
    </row>
    <row r="245" spans="1:5">
      <c r="A245" t="s">
        <v>564</v>
      </c>
      <c r="B245" t="s">
        <v>205</v>
      </c>
      <c r="C245" t="s">
        <v>573</v>
      </c>
      <c r="D245" t="s">
        <v>727</v>
      </c>
      <c r="E245" t="s">
        <v>728</v>
      </c>
    </row>
    <row r="246" spans="1:5">
      <c r="A246" t="s">
        <v>566</v>
      </c>
      <c r="B246" t="s">
        <v>201</v>
      </c>
      <c r="C246" t="s">
        <v>573</v>
      </c>
      <c r="E246" t="s">
        <v>565</v>
      </c>
    </row>
    <row r="247" spans="1:5">
      <c r="A247" t="s">
        <v>568</v>
      </c>
      <c r="B247" t="s">
        <v>509</v>
      </c>
      <c r="C247" t="s">
        <v>353</v>
      </c>
      <c r="E247" t="s">
        <v>567</v>
      </c>
    </row>
    <row r="248" spans="1:5">
      <c r="A248" t="s">
        <v>570</v>
      </c>
      <c r="B248" t="s">
        <v>509</v>
      </c>
      <c r="C248" t="s">
        <v>347</v>
      </c>
      <c r="D248" t="s">
        <v>729</v>
      </c>
      <c r="E248" t="s">
        <v>569</v>
      </c>
    </row>
    <row r="249" spans="1:5">
      <c r="A249" t="s">
        <v>572</v>
      </c>
      <c r="B249" t="s">
        <v>205</v>
      </c>
      <c r="C249" t="s">
        <v>573</v>
      </c>
      <c r="E249" t="s">
        <v>571</v>
      </c>
    </row>
    <row r="250" spans="1:5" ht="409.5">
      <c r="A250" t="s">
        <v>574</v>
      </c>
      <c r="D250" s="2" t="s">
        <v>652</v>
      </c>
      <c r="E250" t="s">
        <v>573</v>
      </c>
    </row>
    <row r="251" spans="1:5">
      <c r="A251" t="s">
        <v>576</v>
      </c>
      <c r="B251" t="s">
        <v>343</v>
      </c>
      <c r="C251" t="s">
        <v>265</v>
      </c>
      <c r="D251" t="s">
        <v>730</v>
      </c>
      <c r="E251" t="s">
        <v>575</v>
      </c>
    </row>
    <row r="252" spans="1:5">
      <c r="A252" t="s">
        <v>578</v>
      </c>
      <c r="B252" t="s">
        <v>415</v>
      </c>
      <c r="C252" t="s">
        <v>265</v>
      </c>
      <c r="E252" t="s">
        <v>577</v>
      </c>
    </row>
    <row r="253" spans="1:5">
      <c r="A253" t="s">
        <v>580</v>
      </c>
      <c r="B253" t="s">
        <v>205</v>
      </c>
      <c r="C253" t="s">
        <v>353</v>
      </c>
      <c r="E253" t="s">
        <v>579</v>
      </c>
    </row>
    <row r="254" spans="1:5">
      <c r="A254" t="s">
        <v>582</v>
      </c>
      <c r="B254" t="s">
        <v>343</v>
      </c>
      <c r="C254" t="s">
        <v>573</v>
      </c>
      <c r="E254" t="s">
        <v>581</v>
      </c>
    </row>
    <row r="255" spans="1:5">
      <c r="A255" t="s">
        <v>584</v>
      </c>
      <c r="B255" t="s">
        <v>343</v>
      </c>
      <c r="C255" t="s">
        <v>353</v>
      </c>
      <c r="D255" t="s">
        <v>731</v>
      </c>
      <c r="E255" t="s">
        <v>583</v>
      </c>
    </row>
    <row r="256" spans="1:5">
      <c r="A256" t="s">
        <v>586</v>
      </c>
      <c r="B256" t="s">
        <v>343</v>
      </c>
      <c r="C256" t="s">
        <v>265</v>
      </c>
      <c r="E256" t="s">
        <v>585</v>
      </c>
    </row>
    <row r="257" spans="1:5">
      <c r="A257" t="s">
        <v>588</v>
      </c>
      <c r="B257" t="s">
        <v>343</v>
      </c>
      <c r="C257" t="s">
        <v>265</v>
      </c>
      <c r="E257" t="s">
        <v>732</v>
      </c>
    </row>
    <row r="258" spans="1:5">
      <c r="A258" t="s">
        <v>590</v>
      </c>
      <c r="B258" t="s">
        <v>201</v>
      </c>
      <c r="C258" t="s">
        <v>573</v>
      </c>
      <c r="E258" t="s">
        <v>589</v>
      </c>
    </row>
    <row r="259" spans="1:5">
      <c r="A259" t="s">
        <v>592</v>
      </c>
      <c r="B259" t="s">
        <v>201</v>
      </c>
      <c r="C259" t="s">
        <v>353</v>
      </c>
      <c r="E259" t="s">
        <v>591</v>
      </c>
    </row>
    <row r="260" spans="1:5">
      <c r="A260" t="s">
        <v>594</v>
      </c>
      <c r="E260" t="s">
        <v>593</v>
      </c>
    </row>
    <row r="261" spans="1:5">
      <c r="A261" t="s">
        <v>596</v>
      </c>
      <c r="B261" t="s">
        <v>201</v>
      </c>
      <c r="C261" t="s">
        <v>573</v>
      </c>
      <c r="D261" t="s">
        <v>618</v>
      </c>
      <c r="E261" t="s">
        <v>595</v>
      </c>
    </row>
    <row r="262" spans="1:5">
      <c r="A262" t="s">
        <v>598</v>
      </c>
      <c r="B262" t="s">
        <v>205</v>
      </c>
      <c r="C262" t="s">
        <v>573</v>
      </c>
      <c r="E262" t="s">
        <v>597</v>
      </c>
    </row>
    <row r="263" spans="1:5">
      <c r="A263" t="s">
        <v>600</v>
      </c>
      <c r="B263" t="s">
        <v>612</v>
      </c>
      <c r="C263" t="s">
        <v>347</v>
      </c>
      <c r="D263" t="s">
        <v>733</v>
      </c>
      <c r="E263" t="s">
        <v>599</v>
      </c>
    </row>
    <row r="264" spans="1:5">
      <c r="A264" t="s">
        <v>602</v>
      </c>
      <c r="B264" t="s">
        <v>509</v>
      </c>
      <c r="C264" t="s">
        <v>573</v>
      </c>
      <c r="D264" t="s">
        <v>624</v>
      </c>
      <c r="E264" t="s">
        <v>601</v>
      </c>
    </row>
    <row r="265" spans="1:5">
      <c r="A265" t="s">
        <v>604</v>
      </c>
      <c r="B265" t="s">
        <v>509</v>
      </c>
      <c r="C265" t="s">
        <v>353</v>
      </c>
      <c r="D265" t="s">
        <v>734</v>
      </c>
      <c r="E265" t="s">
        <v>603</v>
      </c>
    </row>
    <row r="266" spans="1:5" ht="409.5">
      <c r="A266" t="s">
        <v>606</v>
      </c>
      <c r="B266" t="s">
        <v>509</v>
      </c>
      <c r="C266" t="s">
        <v>353</v>
      </c>
      <c r="D266" s="2" t="s">
        <v>735</v>
      </c>
      <c r="E266" t="s">
        <v>605</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10055-FE12-4197-A93A-7FF889E88706}">
  <dimension ref="A1:D2"/>
  <sheetViews>
    <sheetView workbookViewId="0">
      <selection activeCell="A2" sqref="A2"/>
    </sheetView>
  </sheetViews>
  <sheetFormatPr defaultRowHeight="15"/>
  <cols>
    <col min="1" max="1" width="15.5703125" bestFit="1" customWidth="1"/>
    <col min="2" max="2" width="38.7109375" bestFit="1" customWidth="1"/>
    <col min="3" max="3" width="170.42578125" bestFit="1" customWidth="1"/>
    <col min="4" max="4" width="102.42578125" bestFit="1" customWidth="1"/>
  </cols>
  <sheetData>
    <row r="1" spans="1:4">
      <c r="A1" t="s">
        <v>736</v>
      </c>
      <c r="B1" t="s">
        <v>737</v>
      </c>
      <c r="C1" t="s">
        <v>738</v>
      </c>
      <c r="D1" t="s">
        <v>739</v>
      </c>
    </row>
    <row r="2" spans="1:4">
      <c r="A2" t="s">
        <v>76</v>
      </c>
      <c r="B2" t="s">
        <v>75</v>
      </c>
      <c r="C2" t="s">
        <v>740</v>
      </c>
      <c r="D2" t="s">
        <v>741</v>
      </c>
    </row>
  </sheetData>
  <pageMargins left="0.7" right="0.7" top="0.75" bottom="0.75" header="0.3" footer="0.3"/>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9DE66-1F3A-498C-931D-6BFE53BB21E8}">
  <sheetPr filterMode="1"/>
  <dimension ref="A1:E267"/>
  <sheetViews>
    <sheetView workbookViewId="0">
      <selection activeCell="C271" sqref="C271"/>
    </sheetView>
  </sheetViews>
  <sheetFormatPr defaultRowHeight="15"/>
  <cols>
    <col min="1" max="1" width="26.140625" customWidth="1"/>
    <col min="2" max="2" width="13" customWidth="1"/>
    <col min="3" max="3" width="24.85546875" customWidth="1"/>
    <col min="4" max="4" width="16.140625" customWidth="1"/>
    <col min="5" max="5" width="11" style="3" customWidth="1"/>
  </cols>
  <sheetData>
    <row r="1" spans="1:5">
      <c r="A1" t="s">
        <v>3</v>
      </c>
      <c r="B1" t="s">
        <v>4</v>
      </c>
      <c r="C1" t="s">
        <v>607</v>
      </c>
      <c r="D1" t="s">
        <v>742</v>
      </c>
      <c r="E1" s="3" t="s">
        <v>743</v>
      </c>
    </row>
    <row r="2" spans="1:5" hidden="1">
      <c r="A2" t="s">
        <v>73</v>
      </c>
      <c r="B2" t="s">
        <v>74</v>
      </c>
      <c r="C2" t="str">
        <f>_xlfn.XLOOKUP(B2,'Metadata - Countries'!A:A,'Metadata - Countries'!B:B,"Not found")</f>
        <v>Latin America &amp; Caribbean</v>
      </c>
      <c r="E2" s="3" t="str">
        <f>IF(AND(C2&lt;&gt;"",C2&lt;&gt;0,D2&lt;&gt;""),"Include","Exclude")</f>
        <v>Exclude</v>
      </c>
    </row>
    <row r="3" spans="1:5" hidden="1">
      <c r="A3" t="s">
        <v>77</v>
      </c>
      <c r="B3" t="s">
        <v>78</v>
      </c>
      <c r="C3">
        <f>_xlfn.XLOOKUP(B3,'Metadata - Countries'!A:A,'Metadata - Countries'!B:B,"Not found")</f>
        <v>0</v>
      </c>
      <c r="D3">
        <v>21.6</v>
      </c>
      <c r="E3" s="3" t="str">
        <f t="shared" ref="E3:E66" si="0">IF(AND(C3&lt;&gt;"",C3&lt;&gt;0,D3&lt;&gt;""),"Include","Exclude")</f>
        <v>Exclude</v>
      </c>
    </row>
    <row r="4" spans="1:5">
      <c r="A4" t="s">
        <v>79</v>
      </c>
      <c r="B4" t="s">
        <v>80</v>
      </c>
      <c r="C4" t="str">
        <f>_xlfn.XLOOKUP(B4,'Metadata - Countries'!A:A,'Metadata - Countries'!B:B,"Not found")</f>
        <v>Middle East &amp; North Africa</v>
      </c>
      <c r="D4">
        <v>17.600000380000001</v>
      </c>
      <c r="E4" s="3" t="str">
        <f t="shared" si="0"/>
        <v>Include</v>
      </c>
    </row>
    <row r="5" spans="1:5" hidden="1">
      <c r="A5" t="s">
        <v>81</v>
      </c>
      <c r="B5" t="s">
        <v>82</v>
      </c>
      <c r="C5">
        <f>_xlfn.XLOOKUP(B5,'Metadata - Countries'!A:A,'Metadata - Countries'!B:B,"Not found")</f>
        <v>0</v>
      </c>
      <c r="D5">
        <v>28.5</v>
      </c>
      <c r="E5" s="3" t="str">
        <f t="shared" si="0"/>
        <v>Exclude</v>
      </c>
    </row>
    <row r="6" spans="1:5">
      <c r="A6" t="s">
        <v>83</v>
      </c>
      <c r="B6" t="s">
        <v>84</v>
      </c>
      <c r="C6" t="str">
        <f>_xlfn.XLOOKUP(B6,'Metadata - Countries'!A:A,'Metadata - Countries'!B:B,"Not found")</f>
        <v>Sub-Saharan Africa</v>
      </c>
      <c r="D6">
        <v>32.129398350000002</v>
      </c>
      <c r="E6" s="3" t="str">
        <f>IF(AND(C6&lt;&gt;"",C6&lt;&gt;0,D6&lt;&gt;""),"Include","Exclude")</f>
        <v>Include</v>
      </c>
    </row>
    <row r="7" spans="1:5">
      <c r="A7" t="s">
        <v>85</v>
      </c>
      <c r="B7" t="s">
        <v>86</v>
      </c>
      <c r="C7" t="str">
        <f>_xlfn.XLOOKUP(B7,'Metadata - Countries'!A:A,'Metadata - Countries'!B:B,"Not found")</f>
        <v>Europe &amp; Central Asia</v>
      </c>
      <c r="D7">
        <v>68.550391121800601</v>
      </c>
      <c r="E7" s="3" t="str">
        <f t="shared" si="0"/>
        <v>Include</v>
      </c>
    </row>
    <row r="8" spans="1:5">
      <c r="A8" t="s">
        <v>87</v>
      </c>
      <c r="B8" t="s">
        <v>88</v>
      </c>
      <c r="C8" t="str">
        <f>_xlfn.XLOOKUP(B8,'Metadata - Countries'!A:A,'Metadata - Countries'!B:B,"Not found")</f>
        <v>Europe &amp; Central Asia</v>
      </c>
      <c r="D8">
        <v>90.718696589999993</v>
      </c>
      <c r="E8" s="3" t="str">
        <f t="shared" si="0"/>
        <v>Include</v>
      </c>
    </row>
    <row r="9" spans="1:5" hidden="1">
      <c r="A9" t="s">
        <v>89</v>
      </c>
      <c r="B9" t="s">
        <v>90</v>
      </c>
      <c r="C9">
        <f>_xlfn.XLOOKUP(B9,'Metadata - Countries'!A:A,'Metadata - Countries'!B:B,"Not found")</f>
        <v>0</v>
      </c>
      <c r="E9" s="3" t="str">
        <f t="shared" si="0"/>
        <v>Exclude</v>
      </c>
    </row>
    <row r="10" spans="1:5">
      <c r="A10" t="s">
        <v>91</v>
      </c>
      <c r="B10" t="s">
        <v>92</v>
      </c>
      <c r="C10" t="str">
        <f>_xlfn.XLOOKUP(B10,'Metadata - Countries'!A:A,'Metadata - Countries'!B:B,"Not found")</f>
        <v>Middle East &amp; North Africa</v>
      </c>
      <c r="D10">
        <v>99.149997956124295</v>
      </c>
      <c r="E10" s="3" t="str">
        <f t="shared" si="0"/>
        <v>Include</v>
      </c>
    </row>
    <row r="11" spans="1:5">
      <c r="A11" t="s">
        <v>93</v>
      </c>
      <c r="B11" t="s">
        <v>94</v>
      </c>
      <c r="C11" t="str">
        <f>_xlfn.XLOOKUP(B11,'Metadata - Countries'!A:A,'Metadata - Countries'!B:B,"Not found")</f>
        <v>Latin America &amp; Caribbean</v>
      </c>
      <c r="D11">
        <v>79.9469520347551</v>
      </c>
      <c r="E11" s="3" t="str">
        <f t="shared" si="0"/>
        <v>Include</v>
      </c>
    </row>
    <row r="12" spans="1:5">
      <c r="A12" t="s">
        <v>95</v>
      </c>
      <c r="B12" t="s">
        <v>96</v>
      </c>
      <c r="C12" t="str">
        <f>_xlfn.XLOOKUP(B12,'Metadata - Countries'!A:A,'Metadata - Countries'!B:B,"Not found")</f>
        <v>Europe &amp; Central Asia</v>
      </c>
      <c r="D12">
        <v>66.543949686615903</v>
      </c>
      <c r="E12" s="3" t="str">
        <f t="shared" si="0"/>
        <v>Include</v>
      </c>
    </row>
    <row r="13" spans="1:5" hidden="1">
      <c r="A13" t="s">
        <v>97</v>
      </c>
      <c r="B13" t="s">
        <v>98</v>
      </c>
      <c r="C13" t="str">
        <f>_xlfn.XLOOKUP(B13,'Metadata - Countries'!A:A,'Metadata - Countries'!B:B,"Not found")</f>
        <v>East Asia &amp; Pacific</v>
      </c>
      <c r="E13" s="3" t="str">
        <f t="shared" si="0"/>
        <v>Exclude</v>
      </c>
    </row>
    <row r="14" spans="1:5">
      <c r="A14" t="s">
        <v>99</v>
      </c>
      <c r="B14" t="s">
        <v>100</v>
      </c>
      <c r="C14" t="str">
        <f>_xlfn.XLOOKUP(B14,'Metadata - Countries'!A:A,'Metadata - Countries'!B:B,"Not found")</f>
        <v>Latin America &amp; Caribbean</v>
      </c>
      <c r="D14">
        <v>71.092597960000006</v>
      </c>
      <c r="E14" s="3" t="str">
        <f t="shared" si="0"/>
        <v>Include</v>
      </c>
    </row>
    <row r="15" spans="1:5">
      <c r="A15" t="s">
        <v>101</v>
      </c>
      <c r="B15" t="s">
        <v>102</v>
      </c>
      <c r="C15" t="str">
        <f>_xlfn.XLOOKUP(B15,'Metadata - Countries'!A:A,'Metadata - Countries'!B:B,"Not found")</f>
        <v>East Asia &amp; Pacific</v>
      </c>
      <c r="D15">
        <v>93.609901429999994</v>
      </c>
      <c r="E15" s="3" t="str">
        <f t="shared" si="0"/>
        <v>Include</v>
      </c>
    </row>
    <row r="16" spans="1:5">
      <c r="A16" t="s">
        <v>103</v>
      </c>
      <c r="B16" t="s">
        <v>104</v>
      </c>
      <c r="C16" t="str">
        <f>_xlfn.XLOOKUP(B16,'Metadata - Countries'!A:A,'Metadata - Countries'!B:B,"Not found")</f>
        <v>Europe &amp; Central Asia</v>
      </c>
      <c r="D16">
        <v>87.752204787006903</v>
      </c>
      <c r="E16" s="3" t="str">
        <f t="shared" si="0"/>
        <v>Include</v>
      </c>
    </row>
    <row r="17" spans="1:5">
      <c r="A17" t="s">
        <v>105</v>
      </c>
      <c r="B17" t="s">
        <v>106</v>
      </c>
      <c r="C17" t="str">
        <f>_xlfn.XLOOKUP(B17,'Metadata - Countries'!A:A,'Metadata - Countries'!B:B,"Not found")</f>
        <v>Europe &amp; Central Asia</v>
      </c>
      <c r="D17">
        <v>81.099999065154705</v>
      </c>
      <c r="E17" s="3" t="str">
        <f t="shared" si="0"/>
        <v>Include</v>
      </c>
    </row>
    <row r="18" spans="1:5">
      <c r="A18" t="s">
        <v>107</v>
      </c>
      <c r="B18" t="s">
        <v>108</v>
      </c>
      <c r="C18" t="str">
        <f>_xlfn.XLOOKUP(B18,'Metadata - Countries'!A:A,'Metadata - Countries'!B:B,"Not found")</f>
        <v>Sub-Saharan Africa</v>
      </c>
      <c r="D18">
        <v>6.0721998209999999</v>
      </c>
      <c r="E18" s="3" t="str">
        <f t="shared" si="0"/>
        <v>Include</v>
      </c>
    </row>
    <row r="19" spans="1:5">
      <c r="A19" t="s">
        <v>109</v>
      </c>
      <c r="B19" t="s">
        <v>110</v>
      </c>
      <c r="C19" t="str">
        <f>_xlfn.XLOOKUP(B19,'Metadata - Countries'!A:A,'Metadata - Countries'!B:B,"Not found")</f>
        <v>Europe &amp; Central Asia</v>
      </c>
      <c r="D19">
        <v>90.275428012141006</v>
      </c>
      <c r="E19" s="3" t="str">
        <f t="shared" si="0"/>
        <v>Include</v>
      </c>
    </row>
    <row r="20" spans="1:5">
      <c r="A20" t="s">
        <v>111</v>
      </c>
      <c r="B20" t="s">
        <v>112</v>
      </c>
      <c r="C20" t="str">
        <f>_xlfn.XLOOKUP(B20,'Metadata - Countries'!A:A,'Metadata - Countries'!B:B,"Not found")</f>
        <v>Sub-Saharan Africa</v>
      </c>
      <c r="D20">
        <v>20.500999449999998</v>
      </c>
      <c r="E20" s="3" t="str">
        <f t="shared" si="0"/>
        <v>Include</v>
      </c>
    </row>
    <row r="21" spans="1:5">
      <c r="A21" t="s">
        <v>113</v>
      </c>
      <c r="B21" t="s">
        <v>114</v>
      </c>
      <c r="C21" t="str">
        <f>_xlfn.XLOOKUP(B21,'Metadata - Countries'!A:A,'Metadata - Countries'!B:B,"Not found")</f>
        <v>Sub-Saharan Africa</v>
      </c>
      <c r="D21">
        <v>9.2718060095318595</v>
      </c>
      <c r="E21" s="3" t="str">
        <f t="shared" si="0"/>
        <v>Include</v>
      </c>
    </row>
    <row r="22" spans="1:5">
      <c r="A22" t="s">
        <v>115</v>
      </c>
      <c r="B22" t="s">
        <v>116</v>
      </c>
      <c r="C22" t="str">
        <f>_xlfn.XLOOKUP(B22,'Metadata - Countries'!A:A,'Metadata - Countries'!B:B,"Not found")</f>
        <v>South Asia</v>
      </c>
      <c r="D22">
        <v>30.383100509999998</v>
      </c>
      <c r="E22" s="3" t="str">
        <f t="shared" si="0"/>
        <v>Include</v>
      </c>
    </row>
    <row r="23" spans="1:5">
      <c r="A23" t="s">
        <v>117</v>
      </c>
      <c r="B23" t="s">
        <v>118</v>
      </c>
      <c r="C23" t="str">
        <f>_xlfn.XLOOKUP(B23,'Metadata - Countries'!A:A,'Metadata - Countries'!B:B,"Not found")</f>
        <v>Europe &amp; Central Asia</v>
      </c>
      <c r="D23">
        <v>67.946980941760302</v>
      </c>
      <c r="E23" s="3" t="str">
        <f t="shared" si="0"/>
        <v>Include</v>
      </c>
    </row>
    <row r="24" spans="1:5">
      <c r="A24" t="s">
        <v>119</v>
      </c>
      <c r="B24" t="s">
        <v>120</v>
      </c>
      <c r="C24" t="str">
        <f>_xlfn.XLOOKUP(B24,'Metadata - Countries'!A:A,'Metadata - Countries'!B:B,"Not found")</f>
        <v>Middle East &amp; North Africa</v>
      </c>
      <c r="D24">
        <v>99.701504380777806</v>
      </c>
      <c r="E24" s="3" t="str">
        <f t="shared" si="0"/>
        <v>Include</v>
      </c>
    </row>
    <row r="25" spans="1:5">
      <c r="A25" t="s">
        <v>121</v>
      </c>
      <c r="B25" t="s">
        <v>122</v>
      </c>
      <c r="C25" t="str">
        <f>_xlfn.XLOOKUP(B25,'Metadata - Countries'!A:A,'Metadata - Countries'!B:B,"Not found")</f>
        <v>Latin America &amp; Caribbean</v>
      </c>
      <c r="D25">
        <v>90.693298339999998</v>
      </c>
      <c r="E25" s="3" t="str">
        <f t="shared" si="0"/>
        <v>Include</v>
      </c>
    </row>
    <row r="26" spans="1:5">
      <c r="A26" t="s">
        <v>123</v>
      </c>
      <c r="B26" t="s">
        <v>124</v>
      </c>
      <c r="C26" t="str">
        <f>_xlfn.XLOOKUP(B26,'Metadata - Countries'!A:A,'Metadata - Countries'!B:B,"Not found")</f>
        <v>Europe &amp; Central Asia</v>
      </c>
      <c r="D26">
        <v>69.946347631726596</v>
      </c>
      <c r="E26" s="3" t="str">
        <f t="shared" si="0"/>
        <v>Include</v>
      </c>
    </row>
    <row r="27" spans="1:5">
      <c r="A27" t="s">
        <v>125</v>
      </c>
      <c r="B27" t="s">
        <v>126</v>
      </c>
      <c r="C27" t="str">
        <f>_xlfn.XLOOKUP(B27,'Metadata - Countries'!A:A,'Metadata - Countries'!B:B,"Not found")</f>
        <v>Europe &amp; Central Asia</v>
      </c>
      <c r="D27">
        <v>82.789152091090102</v>
      </c>
      <c r="E27" s="3" t="str">
        <f t="shared" si="0"/>
        <v>Include</v>
      </c>
    </row>
    <row r="28" spans="1:5">
      <c r="A28" t="s">
        <v>127</v>
      </c>
      <c r="B28" t="s">
        <v>128</v>
      </c>
      <c r="C28" t="str">
        <f>_xlfn.XLOOKUP(B28,'Metadata - Countries'!A:A,'Metadata - Countries'!B:B,"Not found")</f>
        <v>Latin America &amp; Caribbean</v>
      </c>
      <c r="D28">
        <v>58.765201570000002</v>
      </c>
      <c r="E28" s="3" t="str">
        <f t="shared" si="0"/>
        <v>Include</v>
      </c>
    </row>
    <row r="29" spans="1:5" hidden="1">
      <c r="A29" t="s">
        <v>129</v>
      </c>
      <c r="B29" t="s">
        <v>130</v>
      </c>
      <c r="C29" t="str">
        <f>_xlfn.XLOOKUP(B29,'Metadata - Countries'!A:A,'Metadata - Countries'!B:B,"Not found")</f>
        <v>North America</v>
      </c>
      <c r="E29" s="3" t="str">
        <f t="shared" si="0"/>
        <v>Exclude</v>
      </c>
    </row>
    <row r="30" spans="1:5">
      <c r="A30" t="s">
        <v>131</v>
      </c>
      <c r="B30" t="s">
        <v>132</v>
      </c>
      <c r="C30" t="str">
        <f>_xlfn.XLOOKUP(B30,'Metadata - Countries'!A:A,'Metadata - Countries'!B:B,"Not found")</f>
        <v>Latin America &amp; Caribbean</v>
      </c>
      <c r="D30">
        <v>47.4748191121692</v>
      </c>
      <c r="E30" s="3" t="str">
        <f t="shared" si="0"/>
        <v>Include</v>
      </c>
    </row>
    <row r="31" spans="1:5">
      <c r="A31" t="s">
        <v>133</v>
      </c>
      <c r="B31" t="s">
        <v>134</v>
      </c>
      <c r="C31" t="str">
        <f>_xlfn.XLOOKUP(B31,'Metadata - Countries'!A:A,'Metadata - Countries'!B:B,"Not found")</f>
        <v>Latin America &amp; Caribbean</v>
      </c>
      <c r="D31">
        <v>73.912439913358895</v>
      </c>
      <c r="E31" s="3" t="str">
        <f t="shared" si="0"/>
        <v>Include</v>
      </c>
    </row>
    <row r="32" spans="1:5">
      <c r="A32" t="s">
        <v>135</v>
      </c>
      <c r="B32" t="s">
        <v>136</v>
      </c>
      <c r="C32" t="str">
        <f>_xlfn.XLOOKUP(B32,'Metadata - Countries'!A:A,'Metadata - Countries'!B:B,"Not found")</f>
        <v>Latin America &amp; Caribbean</v>
      </c>
      <c r="D32">
        <v>70.307098389999993</v>
      </c>
      <c r="E32" s="3" t="str">
        <f t="shared" si="0"/>
        <v>Include</v>
      </c>
    </row>
    <row r="33" spans="1:5">
      <c r="A33" t="s">
        <v>137</v>
      </c>
      <c r="B33" t="s">
        <v>138</v>
      </c>
      <c r="C33" t="str">
        <f>_xlfn.XLOOKUP(B33,'Metadata - Countries'!A:A,'Metadata - Countries'!B:B,"Not found")</f>
        <v>East Asia &amp; Pacific</v>
      </c>
      <c r="D33">
        <v>95</v>
      </c>
      <c r="E33" s="3" t="str">
        <f t="shared" si="0"/>
        <v>Include</v>
      </c>
    </row>
    <row r="34" spans="1:5">
      <c r="A34" t="s">
        <v>139</v>
      </c>
      <c r="B34" t="s">
        <v>140</v>
      </c>
      <c r="C34" t="str">
        <f>_xlfn.XLOOKUP(B34,'Metadata - Countries'!A:A,'Metadata - Countries'!B:B,"Not found")</f>
        <v>South Asia</v>
      </c>
      <c r="D34">
        <v>74.17939758</v>
      </c>
      <c r="E34" s="3" t="str">
        <f t="shared" si="0"/>
        <v>Include</v>
      </c>
    </row>
    <row r="35" spans="1:5">
      <c r="A35" t="s">
        <v>141</v>
      </c>
      <c r="B35" t="s">
        <v>142</v>
      </c>
      <c r="C35" t="str">
        <f>_xlfn.XLOOKUP(B35,'Metadata - Countries'!A:A,'Metadata - Countries'!B:B,"Not found")</f>
        <v>Sub-Saharan Africa</v>
      </c>
      <c r="D35">
        <v>48.822799680000003</v>
      </c>
      <c r="E35" s="3" t="str">
        <f t="shared" si="0"/>
        <v>Include</v>
      </c>
    </row>
    <row r="36" spans="1:5">
      <c r="A36" t="s">
        <v>143</v>
      </c>
      <c r="B36" t="s">
        <v>144</v>
      </c>
      <c r="C36" t="str">
        <f>_xlfn.XLOOKUP(B36,'Metadata - Countries'!A:A,'Metadata - Countries'!B:B,"Not found")</f>
        <v>Sub-Saharan Africa</v>
      </c>
      <c r="D36">
        <v>7.5092000959999998</v>
      </c>
      <c r="E36" s="3" t="str">
        <f t="shared" si="0"/>
        <v>Include</v>
      </c>
    </row>
    <row r="37" spans="1:5">
      <c r="A37" t="s">
        <v>145</v>
      </c>
      <c r="B37" t="s">
        <v>146</v>
      </c>
      <c r="C37" t="str">
        <f>_xlfn.XLOOKUP(B37,'Metadata - Countries'!A:A,'Metadata - Countries'!B:B,"Not found")</f>
        <v>North America</v>
      </c>
      <c r="D37">
        <v>91.912902829999993</v>
      </c>
      <c r="E37" s="3" t="str">
        <f t="shared" si="0"/>
        <v>Include</v>
      </c>
    </row>
    <row r="38" spans="1:5" hidden="1">
      <c r="A38" t="s">
        <v>147</v>
      </c>
      <c r="B38" t="s">
        <v>148</v>
      </c>
      <c r="C38">
        <f>_xlfn.XLOOKUP(B38,'Metadata - Countries'!A:A,'Metadata - Countries'!B:B,"Not found")</f>
        <v>0</v>
      </c>
      <c r="E38" s="3" t="str">
        <f t="shared" si="0"/>
        <v>Exclude</v>
      </c>
    </row>
    <row r="39" spans="1:5">
      <c r="A39" t="s">
        <v>149</v>
      </c>
      <c r="B39" t="s">
        <v>150</v>
      </c>
      <c r="C39" t="str">
        <f>_xlfn.XLOOKUP(B39,'Metadata - Countries'!A:A,'Metadata - Countries'!B:B,"Not found")</f>
        <v>Europe &amp; Central Asia</v>
      </c>
      <c r="D39">
        <v>93.146086953517695</v>
      </c>
      <c r="E39" s="3" t="str">
        <f t="shared" si="0"/>
        <v>Include</v>
      </c>
    </row>
    <row r="40" spans="1:5" hidden="1">
      <c r="A40" t="s">
        <v>151</v>
      </c>
      <c r="B40" t="s">
        <v>152</v>
      </c>
      <c r="C40" t="str">
        <f>_xlfn.XLOOKUP(B40,'Metadata - Countries'!A:A,'Metadata - Countries'!B:B,"Not found")</f>
        <v>Europe &amp; Central Asia</v>
      </c>
      <c r="E40" s="3" t="str">
        <f t="shared" si="0"/>
        <v>Exclude</v>
      </c>
    </row>
    <row r="41" spans="1:5">
      <c r="A41" t="s">
        <v>153</v>
      </c>
      <c r="B41" t="s">
        <v>154</v>
      </c>
      <c r="C41" t="str">
        <f>_xlfn.XLOOKUP(B41,'Metadata - Countries'!A:A,'Metadata - Countries'!B:B,"Not found")</f>
        <v>Latin America &amp; Caribbean</v>
      </c>
      <c r="D41">
        <v>85.017601010000007</v>
      </c>
      <c r="E41" s="3" t="str">
        <f t="shared" si="0"/>
        <v>Include</v>
      </c>
    </row>
    <row r="42" spans="1:5">
      <c r="A42" t="s">
        <v>155</v>
      </c>
      <c r="B42" t="s">
        <v>156</v>
      </c>
      <c r="C42" t="str">
        <f>_xlfn.XLOOKUP(B42,'Metadata - Countries'!A:A,'Metadata - Countries'!B:B,"Not found")</f>
        <v>East Asia &amp; Pacific</v>
      </c>
      <c r="D42">
        <v>64.080881297515006</v>
      </c>
      <c r="E42" s="3" t="str">
        <f t="shared" si="0"/>
        <v>Include</v>
      </c>
    </row>
    <row r="43" spans="1:5">
      <c r="A43" t="s">
        <v>157</v>
      </c>
      <c r="B43" t="s">
        <v>158</v>
      </c>
      <c r="C43" t="str">
        <f>_xlfn.XLOOKUP(B43,'Metadata - Countries'!A:A,'Metadata - Countries'!B:B,"Not found")</f>
        <v>Sub-Saharan Africa</v>
      </c>
      <c r="D43">
        <v>36.288954565520498</v>
      </c>
      <c r="E43" s="3" t="str">
        <f t="shared" si="0"/>
        <v>Include</v>
      </c>
    </row>
    <row r="44" spans="1:5">
      <c r="A44" t="s">
        <v>159</v>
      </c>
      <c r="B44" t="s">
        <v>160</v>
      </c>
      <c r="C44" t="str">
        <f>_xlfn.XLOOKUP(B44,'Metadata - Countries'!A:A,'Metadata - Countries'!B:B,"Not found")</f>
        <v>Sub-Saharan Africa</v>
      </c>
      <c r="D44">
        <v>36.539199830000001</v>
      </c>
      <c r="E44" s="3" t="str">
        <f t="shared" si="0"/>
        <v>Include</v>
      </c>
    </row>
    <row r="45" spans="1:5">
      <c r="A45" t="s">
        <v>161</v>
      </c>
      <c r="B45" t="s">
        <v>162</v>
      </c>
      <c r="C45" t="str">
        <f>_xlfn.XLOOKUP(B45,'Metadata - Countries'!A:A,'Metadata - Countries'!B:B,"Not found")</f>
        <v>Sub-Saharan Africa</v>
      </c>
      <c r="D45">
        <v>13.02970028</v>
      </c>
      <c r="E45" s="3" t="str">
        <f t="shared" si="0"/>
        <v>Include</v>
      </c>
    </row>
    <row r="46" spans="1:5">
      <c r="A46" t="s">
        <v>163</v>
      </c>
      <c r="B46" t="s">
        <v>164</v>
      </c>
      <c r="C46" t="str">
        <f>_xlfn.XLOOKUP(B46,'Metadata - Countries'!A:A,'Metadata - Countries'!B:B,"Not found")</f>
        <v>Sub-Saharan Africa</v>
      </c>
      <c r="D46">
        <v>16.116399770000001</v>
      </c>
      <c r="E46" s="3" t="str">
        <f t="shared" si="0"/>
        <v>Include</v>
      </c>
    </row>
    <row r="47" spans="1:5">
      <c r="A47" t="s">
        <v>165</v>
      </c>
      <c r="B47" t="s">
        <v>166</v>
      </c>
      <c r="C47" t="str">
        <f>_xlfn.XLOOKUP(B47,'Metadata - Countries'!A:A,'Metadata - Countries'!B:B,"Not found")</f>
        <v>Latin America &amp; Caribbean</v>
      </c>
      <c r="D47">
        <v>65.0069007159493</v>
      </c>
      <c r="E47" s="3" t="str">
        <f t="shared" si="0"/>
        <v>Include</v>
      </c>
    </row>
    <row r="48" spans="1:5">
      <c r="A48" t="s">
        <v>167</v>
      </c>
      <c r="B48" t="s">
        <v>168</v>
      </c>
      <c r="C48" t="str">
        <f>_xlfn.XLOOKUP(B48,'Metadata - Countries'!A:A,'Metadata - Countries'!B:B,"Not found")</f>
        <v>Sub-Saharan Africa</v>
      </c>
      <c r="D48">
        <v>16.38380051</v>
      </c>
      <c r="E48" s="3" t="str">
        <f t="shared" si="0"/>
        <v>Include</v>
      </c>
    </row>
    <row r="49" spans="1:5">
      <c r="A49" t="s">
        <v>169</v>
      </c>
      <c r="B49" t="s">
        <v>170</v>
      </c>
      <c r="C49" t="str">
        <f>_xlfn.XLOOKUP(B49,'Metadata - Countries'!A:A,'Metadata - Countries'!B:B,"Not found")</f>
        <v>Sub-Saharan Africa</v>
      </c>
      <c r="D49">
        <v>61.943397759308802</v>
      </c>
      <c r="E49" s="3" t="str">
        <f t="shared" si="0"/>
        <v>Include</v>
      </c>
    </row>
    <row r="50" spans="1:5">
      <c r="A50" t="s">
        <v>171</v>
      </c>
      <c r="B50" t="s">
        <v>172</v>
      </c>
      <c r="C50" t="str">
        <f>_xlfn.XLOOKUP(B50,'Metadata - Countries'!A:A,'Metadata - Countries'!B:B,"Not found")</f>
        <v>Latin America &amp; Caribbean</v>
      </c>
      <c r="D50">
        <v>81.2025964435269</v>
      </c>
      <c r="E50" s="3" t="str">
        <f t="shared" si="0"/>
        <v>Include</v>
      </c>
    </row>
    <row r="51" spans="1:5" hidden="1">
      <c r="A51" t="s">
        <v>173</v>
      </c>
      <c r="B51" t="s">
        <v>174</v>
      </c>
      <c r="C51">
        <f>_xlfn.XLOOKUP(B51,'Metadata - Countries'!A:A,'Metadata - Countries'!B:B,"Not found")</f>
        <v>0</v>
      </c>
      <c r="E51" s="3" t="str">
        <f t="shared" si="0"/>
        <v>Exclude</v>
      </c>
    </row>
    <row r="52" spans="1:5">
      <c r="A52" t="s">
        <v>175</v>
      </c>
      <c r="B52" t="s">
        <v>176</v>
      </c>
      <c r="C52" t="str">
        <f>_xlfn.XLOOKUP(B52,'Metadata - Countries'!A:A,'Metadata - Countries'!B:B,"Not found")</f>
        <v>Latin America &amp; Caribbean</v>
      </c>
      <c r="D52">
        <v>67.970808656515203</v>
      </c>
      <c r="E52" s="3" t="str">
        <f t="shared" si="0"/>
        <v>Include</v>
      </c>
    </row>
    <row r="53" spans="1:5" hidden="1">
      <c r="A53" t="s">
        <v>177</v>
      </c>
      <c r="B53" t="s">
        <v>178</v>
      </c>
      <c r="C53" t="str">
        <f>_xlfn.XLOOKUP(B53,'Metadata - Countries'!A:A,'Metadata - Countries'!B:B,"Not found")</f>
        <v>Latin America &amp; Caribbean</v>
      </c>
      <c r="E53" s="3" t="str">
        <f t="shared" si="0"/>
        <v>Exclude</v>
      </c>
    </row>
    <row r="54" spans="1:5" hidden="1">
      <c r="A54" t="s">
        <v>179</v>
      </c>
      <c r="B54" t="s">
        <v>180</v>
      </c>
      <c r="C54" t="str">
        <f>_xlfn.XLOOKUP(B54,'Metadata - Countries'!A:A,'Metadata - Countries'!B:B,"Not found")</f>
        <v>Latin America &amp; Caribbean</v>
      </c>
      <c r="E54" s="3" t="str">
        <f t="shared" si="0"/>
        <v>Exclude</v>
      </c>
    </row>
    <row r="55" spans="1:5">
      <c r="A55" t="s">
        <v>181</v>
      </c>
      <c r="B55" t="s">
        <v>182</v>
      </c>
      <c r="C55" t="str">
        <f>_xlfn.XLOOKUP(B55,'Metadata - Countries'!A:A,'Metadata - Countries'!B:B,"Not found")</f>
        <v>Europe &amp; Central Asia</v>
      </c>
      <c r="D55">
        <v>86.063629961893497</v>
      </c>
      <c r="E55" s="3" t="str">
        <f t="shared" si="0"/>
        <v>Include</v>
      </c>
    </row>
    <row r="56" spans="1:5">
      <c r="A56" t="s">
        <v>183</v>
      </c>
      <c r="B56" t="s">
        <v>184</v>
      </c>
      <c r="C56" t="str">
        <f>_xlfn.XLOOKUP(B56,'Metadata - Countries'!A:A,'Metadata - Countries'!B:B,"Not found")</f>
        <v>Europe &amp; Central Asia</v>
      </c>
      <c r="D56">
        <v>80.866944413962202</v>
      </c>
      <c r="E56" s="3" t="str">
        <f t="shared" si="0"/>
        <v>Include</v>
      </c>
    </row>
    <row r="57" spans="1:5">
      <c r="A57" t="s">
        <v>185</v>
      </c>
      <c r="B57" t="s">
        <v>186</v>
      </c>
      <c r="C57" t="str">
        <f>_xlfn.XLOOKUP(B57,'Metadata - Countries'!A:A,'Metadata - Countries'!B:B,"Not found")</f>
        <v>Europe &amp; Central Asia</v>
      </c>
      <c r="D57">
        <v>88.134516909191603</v>
      </c>
      <c r="E57" s="3" t="str">
        <f t="shared" si="0"/>
        <v>Include</v>
      </c>
    </row>
    <row r="58" spans="1:5">
      <c r="A58" t="s">
        <v>187</v>
      </c>
      <c r="B58" t="s">
        <v>188</v>
      </c>
      <c r="C58" t="str">
        <f>_xlfn.XLOOKUP(B58,'Metadata - Countries'!A:A,'Metadata - Countries'!B:B,"Not found")</f>
        <v>Middle East &amp; North Africa</v>
      </c>
      <c r="D58">
        <v>58.4762001</v>
      </c>
      <c r="E58" s="3" t="str">
        <f t="shared" si="0"/>
        <v>Include</v>
      </c>
    </row>
    <row r="59" spans="1:5">
      <c r="A59" t="s">
        <v>189</v>
      </c>
      <c r="B59" t="s">
        <v>190</v>
      </c>
      <c r="C59" t="str">
        <f>_xlfn.XLOOKUP(B59,'Metadata - Countries'!A:A,'Metadata - Countries'!B:B,"Not found")</f>
        <v>Latin America &amp; Caribbean</v>
      </c>
      <c r="D59">
        <v>73.382003780000005</v>
      </c>
      <c r="E59" s="3" t="str">
        <f t="shared" si="0"/>
        <v>Include</v>
      </c>
    </row>
    <row r="60" spans="1:5">
      <c r="A60" t="s">
        <v>191</v>
      </c>
      <c r="B60" t="s">
        <v>192</v>
      </c>
      <c r="C60" t="str">
        <f>_xlfn.XLOOKUP(B60,'Metadata - Countries'!A:A,'Metadata - Countries'!B:B,"Not found")</f>
        <v>Europe &amp; Central Asia</v>
      </c>
      <c r="D60">
        <v>98.046434752154894</v>
      </c>
      <c r="E60" s="3" t="str">
        <f t="shared" si="0"/>
        <v>Include</v>
      </c>
    </row>
    <row r="61" spans="1:5">
      <c r="A61" t="s">
        <v>193</v>
      </c>
      <c r="B61" t="s">
        <v>194</v>
      </c>
      <c r="C61" t="str">
        <f>_xlfn.XLOOKUP(B61,'Metadata - Countries'!A:A,'Metadata - Countries'!B:B,"Not found")</f>
        <v>Latin America &amp; Caribbean</v>
      </c>
      <c r="D61">
        <v>79.715499879999996</v>
      </c>
      <c r="E61" s="3" t="str">
        <f t="shared" si="0"/>
        <v>Include</v>
      </c>
    </row>
    <row r="62" spans="1:5">
      <c r="A62" t="s">
        <v>195</v>
      </c>
      <c r="B62" t="s">
        <v>196</v>
      </c>
      <c r="C62" t="str">
        <f>_xlfn.XLOOKUP(B62,'Metadata - Countries'!A:A,'Metadata - Countries'!B:B,"Not found")</f>
        <v>Middle East &amp; North Africa</v>
      </c>
      <c r="D62">
        <v>55.790699009999997</v>
      </c>
      <c r="E62" s="3" t="str">
        <f t="shared" si="0"/>
        <v>Include</v>
      </c>
    </row>
    <row r="63" spans="1:5" hidden="1">
      <c r="A63" t="s">
        <v>197</v>
      </c>
      <c r="B63" t="s">
        <v>198</v>
      </c>
      <c r="C63">
        <f>_xlfn.XLOOKUP(B63,'Metadata - Countries'!A:A,'Metadata - Countries'!B:B,"Not found")</f>
        <v>0</v>
      </c>
      <c r="D63">
        <v>64</v>
      </c>
      <c r="E63" s="3" t="str">
        <f t="shared" si="0"/>
        <v>Exclude</v>
      </c>
    </row>
    <row r="64" spans="1:5" hidden="1">
      <c r="A64" t="s">
        <v>199</v>
      </c>
      <c r="B64" t="s">
        <v>200</v>
      </c>
      <c r="C64">
        <f>_xlfn.XLOOKUP(B64,'Metadata - Countries'!A:A,'Metadata - Countries'!B:B,"Not found")</f>
        <v>0</v>
      </c>
      <c r="E64" s="3" t="str">
        <f t="shared" si="0"/>
        <v>Exclude</v>
      </c>
    </row>
    <row r="65" spans="1:5" hidden="1">
      <c r="A65" t="s">
        <v>201</v>
      </c>
      <c r="B65" t="s">
        <v>202</v>
      </c>
      <c r="C65">
        <f>_xlfn.XLOOKUP(B65,'Metadata - Countries'!A:A,'Metadata - Countries'!B:B,"Not found")</f>
        <v>0</v>
      </c>
      <c r="D65">
        <v>67.099999999999994</v>
      </c>
      <c r="E65" s="3" t="str">
        <f t="shared" si="0"/>
        <v>Exclude</v>
      </c>
    </row>
    <row r="66" spans="1:5" hidden="1">
      <c r="A66" t="s">
        <v>203</v>
      </c>
      <c r="B66" t="s">
        <v>204</v>
      </c>
      <c r="C66">
        <f>_xlfn.XLOOKUP(B66,'Metadata - Countries'!A:A,'Metadata - Countries'!B:B,"Not found")</f>
        <v>0</v>
      </c>
      <c r="D66">
        <v>70.3</v>
      </c>
      <c r="E66" s="3" t="str">
        <f t="shared" si="0"/>
        <v>Exclude</v>
      </c>
    </row>
    <row r="67" spans="1:5" hidden="1">
      <c r="A67" t="s">
        <v>205</v>
      </c>
      <c r="B67" t="s">
        <v>206</v>
      </c>
      <c r="C67">
        <f>_xlfn.XLOOKUP(B67,'Metadata - Countries'!A:A,'Metadata - Countries'!B:B,"Not found")</f>
        <v>0</v>
      </c>
      <c r="D67">
        <v>80.3</v>
      </c>
      <c r="E67" s="3" t="str">
        <f t="shared" ref="E67:E130" si="1">IF(AND(C67&lt;&gt;"",C67&lt;&gt;0,D67&lt;&gt;""),"Include","Exclude")</f>
        <v>Exclude</v>
      </c>
    </row>
    <row r="68" spans="1:5">
      <c r="A68" t="s">
        <v>207</v>
      </c>
      <c r="B68" t="s">
        <v>208</v>
      </c>
      <c r="C68" t="str">
        <f>_xlfn.XLOOKUP(B68,'Metadata - Countries'!A:A,'Metadata - Countries'!B:B,"Not found")</f>
        <v>Latin America &amp; Caribbean</v>
      </c>
      <c r="D68">
        <v>59.2</v>
      </c>
      <c r="E68" s="3" t="str">
        <f t="shared" si="1"/>
        <v>Include</v>
      </c>
    </row>
    <row r="69" spans="1:5">
      <c r="A69" t="s">
        <v>209</v>
      </c>
      <c r="B69" t="s">
        <v>210</v>
      </c>
      <c r="C69" t="str">
        <f>_xlfn.XLOOKUP(B69,'Metadata - Countries'!A:A,'Metadata - Countries'!B:B,"Not found")</f>
        <v>Middle East &amp; North Africa</v>
      </c>
      <c r="D69">
        <v>57.282866399019497</v>
      </c>
      <c r="E69" s="3" t="str">
        <f t="shared" si="1"/>
        <v>Include</v>
      </c>
    </row>
    <row r="70" spans="1:5" hidden="1">
      <c r="A70" t="s">
        <v>211</v>
      </c>
      <c r="B70" t="s">
        <v>212</v>
      </c>
      <c r="C70">
        <f>_xlfn.XLOOKUP(B70,'Metadata - Countries'!A:A,'Metadata - Countries'!B:B,"Not found")</f>
        <v>0</v>
      </c>
      <c r="E70" s="3" t="str">
        <f t="shared" si="1"/>
        <v>Exclude</v>
      </c>
    </row>
    <row r="71" spans="1:5">
      <c r="A71" t="s">
        <v>213</v>
      </c>
      <c r="B71" t="s">
        <v>214</v>
      </c>
      <c r="C71" t="str">
        <f>_xlfn.XLOOKUP(B71,'Metadata - Countries'!A:A,'Metadata - Countries'!B:B,"Not found")</f>
        <v>Sub-Saharan Africa</v>
      </c>
      <c r="D71">
        <v>11.22379971</v>
      </c>
      <c r="E71" s="3" t="str">
        <f t="shared" si="1"/>
        <v>Include</v>
      </c>
    </row>
    <row r="72" spans="1:5">
      <c r="A72" t="s">
        <v>215</v>
      </c>
      <c r="B72" t="s">
        <v>216</v>
      </c>
      <c r="C72" t="str">
        <f>_xlfn.XLOOKUP(B72,'Metadata - Countries'!A:A,'Metadata - Countries'!B:B,"Not found")</f>
        <v>Europe &amp; Central Asia</v>
      </c>
      <c r="D72">
        <v>90.718665325266997</v>
      </c>
      <c r="E72" s="3" t="str">
        <f t="shared" si="1"/>
        <v>Include</v>
      </c>
    </row>
    <row r="73" spans="1:5">
      <c r="A73" t="s">
        <v>217</v>
      </c>
      <c r="B73" t="s">
        <v>218</v>
      </c>
      <c r="C73" t="str">
        <f>_xlfn.XLOOKUP(B73,'Metadata - Countries'!A:A,'Metadata - Countries'!B:B,"Not found")</f>
        <v>Europe &amp; Central Asia</v>
      </c>
      <c r="D73">
        <v>90.228928199791895</v>
      </c>
      <c r="E73" s="3" t="str">
        <f t="shared" si="1"/>
        <v>Include</v>
      </c>
    </row>
    <row r="74" spans="1:5">
      <c r="A74" t="s">
        <v>219</v>
      </c>
      <c r="B74" t="s">
        <v>220</v>
      </c>
      <c r="C74" t="str">
        <f>_xlfn.XLOOKUP(B74,'Metadata - Countries'!A:A,'Metadata - Countries'!B:B,"Not found")</f>
        <v>Sub-Saharan Africa</v>
      </c>
      <c r="D74">
        <v>15.984600070000001</v>
      </c>
      <c r="E74" s="3" t="str">
        <f t="shared" si="1"/>
        <v>Include</v>
      </c>
    </row>
    <row r="75" spans="1:5" hidden="1">
      <c r="A75" t="s">
        <v>221</v>
      </c>
      <c r="B75" t="s">
        <v>222</v>
      </c>
      <c r="C75">
        <f>_xlfn.XLOOKUP(B75,'Metadata - Countries'!A:A,'Metadata - Countries'!B:B,"Not found")</f>
        <v>0</v>
      </c>
      <c r="E75" s="3" t="str">
        <f t="shared" si="1"/>
        <v>Exclude</v>
      </c>
    </row>
    <row r="76" spans="1:5" hidden="1">
      <c r="A76" t="s">
        <v>223</v>
      </c>
      <c r="B76" t="s">
        <v>224</v>
      </c>
      <c r="C76">
        <f>_xlfn.XLOOKUP(B76,'Metadata - Countries'!A:A,'Metadata - Countries'!B:B,"Not found")</f>
        <v>0</v>
      </c>
      <c r="E76" s="3" t="str">
        <f t="shared" si="1"/>
        <v>Exclude</v>
      </c>
    </row>
    <row r="77" spans="1:5">
      <c r="A77" t="s">
        <v>225</v>
      </c>
      <c r="B77" t="s">
        <v>226</v>
      </c>
      <c r="C77" t="str">
        <f>_xlfn.XLOOKUP(B77,'Metadata - Countries'!A:A,'Metadata - Countries'!B:B,"Not found")</f>
        <v>Europe &amp; Central Asia</v>
      </c>
      <c r="D77">
        <v>89.607385112977894</v>
      </c>
      <c r="E77" s="3" t="str">
        <f t="shared" si="1"/>
        <v>Include</v>
      </c>
    </row>
    <row r="78" spans="1:5">
      <c r="A78" t="s">
        <v>227</v>
      </c>
      <c r="B78" t="s">
        <v>228</v>
      </c>
      <c r="C78" t="str">
        <f>_xlfn.XLOOKUP(B78,'Metadata - Countries'!A:A,'Metadata - Countries'!B:B,"Not found")</f>
        <v>East Asia &amp; Pacific</v>
      </c>
      <c r="D78">
        <v>63.217899320000001</v>
      </c>
      <c r="E78" s="3" t="str">
        <f t="shared" si="1"/>
        <v>Include</v>
      </c>
    </row>
    <row r="79" spans="1:5">
      <c r="A79" t="s">
        <v>229</v>
      </c>
      <c r="B79" t="s">
        <v>230</v>
      </c>
      <c r="C79" t="str">
        <f>_xlfn.XLOOKUP(B79,'Metadata - Countries'!A:A,'Metadata - Countries'!B:B,"Not found")</f>
        <v>Europe &amp; Central Asia</v>
      </c>
      <c r="D79">
        <v>83.339744086688299</v>
      </c>
      <c r="E79" s="3" t="str">
        <f t="shared" si="1"/>
        <v>Include</v>
      </c>
    </row>
    <row r="80" spans="1:5" hidden="1">
      <c r="A80" t="s">
        <v>231</v>
      </c>
      <c r="B80" t="s">
        <v>232</v>
      </c>
      <c r="C80" t="str">
        <f>_xlfn.XLOOKUP(B80,'Metadata - Countries'!A:A,'Metadata - Countries'!B:B,"Not found")</f>
        <v>Europe &amp; Central Asia</v>
      </c>
      <c r="E80" s="3" t="str">
        <f t="shared" si="1"/>
        <v>Exclude</v>
      </c>
    </row>
    <row r="81" spans="1:5">
      <c r="A81" t="s">
        <v>233</v>
      </c>
      <c r="B81" t="s">
        <v>234</v>
      </c>
      <c r="C81" t="str">
        <f>_xlfn.XLOOKUP(B81,'Metadata - Countries'!A:A,'Metadata - Countries'!B:B,"Not found")</f>
        <v>East Asia &amp; Pacific</v>
      </c>
      <c r="D81">
        <v>37.973701480000003</v>
      </c>
      <c r="E81" s="3" t="str">
        <f t="shared" si="1"/>
        <v>Include</v>
      </c>
    </row>
    <row r="82" spans="1:5">
      <c r="A82" t="s">
        <v>235</v>
      </c>
      <c r="B82" t="s">
        <v>236</v>
      </c>
      <c r="C82" t="str">
        <f>_xlfn.XLOOKUP(B82,'Metadata - Countries'!A:A,'Metadata - Countries'!B:B,"Not found")</f>
        <v>Sub-Saharan Africa</v>
      </c>
      <c r="D82">
        <v>59.51760101</v>
      </c>
      <c r="E82" s="3" t="str">
        <f t="shared" si="1"/>
        <v>Include</v>
      </c>
    </row>
    <row r="83" spans="1:5">
      <c r="A83" t="s">
        <v>237</v>
      </c>
      <c r="B83" t="s">
        <v>238</v>
      </c>
      <c r="C83" t="str">
        <f>_xlfn.XLOOKUP(B83,'Metadata - Countries'!A:A,'Metadata - Countries'!B:B,"Not found")</f>
        <v>Europe &amp; Central Asia</v>
      </c>
      <c r="D83">
        <v>92.516628549713801</v>
      </c>
      <c r="E83" s="3" t="str">
        <f t="shared" si="1"/>
        <v>Include</v>
      </c>
    </row>
    <row r="84" spans="1:5">
      <c r="A84" t="s">
        <v>239</v>
      </c>
      <c r="B84" t="s">
        <v>240</v>
      </c>
      <c r="C84" t="str">
        <f>_xlfn.XLOOKUP(B84,'Metadata - Countries'!A:A,'Metadata - Countries'!B:B,"Not found")</f>
        <v>Europe &amp; Central Asia</v>
      </c>
      <c r="D84">
        <v>68.846713561697797</v>
      </c>
      <c r="E84" s="3" t="str">
        <f t="shared" si="1"/>
        <v>Include</v>
      </c>
    </row>
    <row r="85" spans="1:5">
      <c r="A85" t="s">
        <v>241</v>
      </c>
      <c r="B85" t="s">
        <v>242</v>
      </c>
      <c r="C85" t="str">
        <f>_xlfn.XLOOKUP(B85,'Metadata - Countries'!A:A,'Metadata - Countries'!B:B,"Not found")</f>
        <v>Sub-Saharan Africa</v>
      </c>
      <c r="D85">
        <v>22.0732</v>
      </c>
      <c r="E85" s="3" t="str">
        <f t="shared" si="1"/>
        <v>Include</v>
      </c>
    </row>
    <row r="86" spans="1:5" hidden="1">
      <c r="A86" t="s">
        <v>243</v>
      </c>
      <c r="B86" t="s">
        <v>244</v>
      </c>
      <c r="C86" t="str">
        <f>_xlfn.XLOOKUP(B86,'Metadata - Countries'!A:A,'Metadata - Countries'!B:B,"Not found")</f>
        <v>Europe &amp; Central Asia</v>
      </c>
      <c r="E86" s="3" t="str">
        <f t="shared" si="1"/>
        <v>Exclude</v>
      </c>
    </row>
    <row r="87" spans="1:5">
      <c r="A87" t="s">
        <v>245</v>
      </c>
      <c r="B87" t="s">
        <v>246</v>
      </c>
      <c r="C87" t="str">
        <f>_xlfn.XLOOKUP(B87,'Metadata - Countries'!A:A,'Metadata - Countries'!B:B,"Not found")</f>
        <v>Sub-Saharan Africa</v>
      </c>
      <c r="D87">
        <v>23.89049911</v>
      </c>
      <c r="E87" s="3" t="str">
        <f t="shared" si="1"/>
        <v>Include</v>
      </c>
    </row>
    <row r="88" spans="1:5">
      <c r="A88" t="s">
        <v>247</v>
      </c>
      <c r="B88" t="s">
        <v>248</v>
      </c>
      <c r="C88" t="str">
        <f>_xlfn.XLOOKUP(B88,'Metadata - Countries'!A:A,'Metadata - Countries'!B:B,"Not found")</f>
        <v>Sub-Saharan Africa</v>
      </c>
      <c r="D88">
        <v>31.118299480000001</v>
      </c>
      <c r="E88" s="3" t="str">
        <f t="shared" si="1"/>
        <v>Include</v>
      </c>
    </row>
    <row r="89" spans="1:5">
      <c r="A89" t="s">
        <v>249</v>
      </c>
      <c r="B89" t="s">
        <v>250</v>
      </c>
      <c r="C89" t="str">
        <f>_xlfn.XLOOKUP(B89,'Metadata - Countries'!A:A,'Metadata - Countries'!B:B,"Not found")</f>
        <v>Sub-Saharan Africa</v>
      </c>
      <c r="D89">
        <v>17.92149925</v>
      </c>
      <c r="E89" s="3" t="str">
        <f t="shared" si="1"/>
        <v>Include</v>
      </c>
    </row>
    <row r="90" spans="1:5">
      <c r="A90" t="s">
        <v>251</v>
      </c>
      <c r="B90" t="s">
        <v>252</v>
      </c>
      <c r="C90" t="str">
        <f>_xlfn.XLOOKUP(B90,'Metadata - Countries'!A:A,'Metadata - Countries'!B:B,"Not found")</f>
        <v>Sub-Saharan Africa</v>
      </c>
      <c r="D90">
        <v>49.13370132</v>
      </c>
      <c r="E90" s="3" t="str">
        <f t="shared" si="1"/>
        <v>Include</v>
      </c>
    </row>
    <row r="91" spans="1:5">
      <c r="A91" t="s">
        <v>253</v>
      </c>
      <c r="B91" t="s">
        <v>254</v>
      </c>
      <c r="C91" t="str">
        <f>_xlfn.XLOOKUP(B91,'Metadata - Countries'!A:A,'Metadata - Countries'!B:B,"Not found")</f>
        <v>Europe &amp; Central Asia</v>
      </c>
      <c r="D91">
        <v>75.671206693175705</v>
      </c>
      <c r="E91" s="3" t="str">
        <f t="shared" si="1"/>
        <v>Include</v>
      </c>
    </row>
    <row r="92" spans="1:5">
      <c r="A92" t="s">
        <v>255</v>
      </c>
      <c r="B92" t="s">
        <v>256</v>
      </c>
      <c r="C92" t="str">
        <f>_xlfn.XLOOKUP(B92,'Metadata - Countries'!A:A,'Metadata - Countries'!B:B,"Not found")</f>
        <v>Latin America &amp; Caribbean</v>
      </c>
      <c r="D92">
        <v>64.312797549999999</v>
      </c>
      <c r="E92" s="3" t="str">
        <f t="shared" si="1"/>
        <v>Include</v>
      </c>
    </row>
    <row r="93" spans="1:5" hidden="1">
      <c r="A93" t="s">
        <v>257</v>
      </c>
      <c r="B93" t="s">
        <v>258</v>
      </c>
      <c r="C93" t="str">
        <f>_xlfn.XLOOKUP(B93,'Metadata - Countries'!A:A,'Metadata - Countries'!B:B,"Not found")</f>
        <v>Europe &amp; Central Asia</v>
      </c>
      <c r="E93" s="3" t="str">
        <f t="shared" si="1"/>
        <v>Exclude</v>
      </c>
    </row>
    <row r="94" spans="1:5">
      <c r="A94" t="s">
        <v>259</v>
      </c>
      <c r="B94" t="s">
        <v>260</v>
      </c>
      <c r="C94" t="str">
        <f>_xlfn.XLOOKUP(B94,'Metadata - Countries'!A:A,'Metadata - Countries'!B:B,"Not found")</f>
        <v>Latin America &amp; Caribbean</v>
      </c>
      <c r="D94">
        <v>44.401049838501997</v>
      </c>
      <c r="E94" s="3" t="str">
        <f t="shared" si="1"/>
        <v>Include</v>
      </c>
    </row>
    <row r="95" spans="1:5" hidden="1">
      <c r="A95" t="s">
        <v>261</v>
      </c>
      <c r="B95" t="s">
        <v>262</v>
      </c>
      <c r="C95" t="str">
        <f>_xlfn.XLOOKUP(B95,'Metadata - Countries'!A:A,'Metadata - Countries'!B:B,"Not found")</f>
        <v>East Asia &amp; Pacific</v>
      </c>
      <c r="E95" s="3" t="str">
        <f t="shared" si="1"/>
        <v>Exclude</v>
      </c>
    </row>
    <row r="96" spans="1:5">
      <c r="A96" t="s">
        <v>263</v>
      </c>
      <c r="B96" t="s">
        <v>264</v>
      </c>
      <c r="C96" t="str">
        <f>_xlfn.XLOOKUP(B96,'Metadata - Countries'!A:A,'Metadata - Countries'!B:B,"Not found")</f>
        <v>Latin America &amp; Caribbean</v>
      </c>
      <c r="D96">
        <v>55.312698359999999</v>
      </c>
      <c r="E96" s="3" t="str">
        <f t="shared" si="1"/>
        <v>Include</v>
      </c>
    </row>
    <row r="97" spans="1:5" hidden="1">
      <c r="A97" t="s">
        <v>265</v>
      </c>
      <c r="B97" t="s">
        <v>266</v>
      </c>
      <c r="C97">
        <f>_xlfn.XLOOKUP(B97,'Metadata - Countries'!A:A,'Metadata - Countries'!B:B,"Not found")</f>
        <v>0</v>
      </c>
      <c r="D97">
        <v>87.5</v>
      </c>
      <c r="E97" s="3" t="str">
        <f t="shared" si="1"/>
        <v>Exclude</v>
      </c>
    </row>
    <row r="98" spans="1:5">
      <c r="A98" t="s">
        <v>267</v>
      </c>
      <c r="B98" t="s">
        <v>268</v>
      </c>
      <c r="C98" t="str">
        <f>_xlfn.XLOOKUP(B98,'Metadata - Countries'!A:A,'Metadata - Countries'!B:B,"Not found")</f>
        <v>East Asia &amp; Pacific</v>
      </c>
      <c r="D98">
        <v>91.743400389158694</v>
      </c>
      <c r="E98" s="3" t="str">
        <f t="shared" si="1"/>
        <v>Include</v>
      </c>
    </row>
    <row r="99" spans="1:5">
      <c r="A99" t="s">
        <v>269</v>
      </c>
      <c r="B99" t="s">
        <v>270</v>
      </c>
      <c r="C99" t="str">
        <f>_xlfn.XLOOKUP(B99,'Metadata - Countries'!A:A,'Metadata - Countries'!B:B,"Not found")</f>
        <v>Latin America &amp; Caribbean</v>
      </c>
      <c r="D99">
        <v>39.388352185011101</v>
      </c>
      <c r="E99" s="3" t="str">
        <f t="shared" si="1"/>
        <v>Include</v>
      </c>
    </row>
    <row r="100" spans="1:5" hidden="1">
      <c r="A100" t="s">
        <v>271</v>
      </c>
      <c r="B100" t="s">
        <v>272</v>
      </c>
      <c r="C100">
        <f>_xlfn.XLOOKUP(B100,'Metadata - Countries'!A:A,'Metadata - Countries'!B:B,"Not found")</f>
        <v>0</v>
      </c>
      <c r="E100" s="3" t="str">
        <f t="shared" si="1"/>
        <v>Exclude</v>
      </c>
    </row>
    <row r="101" spans="1:5">
      <c r="A101" t="s">
        <v>273</v>
      </c>
      <c r="B101" t="s">
        <v>274</v>
      </c>
      <c r="C101" t="str">
        <f>_xlfn.XLOOKUP(B101,'Metadata - Countries'!A:A,'Metadata - Countries'!B:B,"Not found")</f>
        <v>Europe &amp; Central Asia</v>
      </c>
      <c r="D101">
        <v>79.079783675755394</v>
      </c>
      <c r="E101" s="3" t="str">
        <f t="shared" si="1"/>
        <v>Include</v>
      </c>
    </row>
    <row r="102" spans="1:5">
      <c r="A102" t="s">
        <v>275</v>
      </c>
      <c r="B102" t="s">
        <v>276</v>
      </c>
      <c r="C102" t="str">
        <f>_xlfn.XLOOKUP(B102,'Metadata - Countries'!A:A,'Metadata - Countries'!B:B,"Not found")</f>
        <v>Latin America &amp; Caribbean</v>
      </c>
      <c r="D102">
        <v>35.764099119999997</v>
      </c>
      <c r="E102" s="3" t="str">
        <f t="shared" si="1"/>
        <v>Include</v>
      </c>
    </row>
    <row r="103" spans="1:5">
      <c r="A103" t="s">
        <v>277</v>
      </c>
      <c r="B103" t="s">
        <v>278</v>
      </c>
      <c r="C103" t="str">
        <f>_xlfn.XLOOKUP(B103,'Metadata - Countries'!A:A,'Metadata - Countries'!B:B,"Not found")</f>
        <v>Europe &amp; Central Asia</v>
      </c>
      <c r="D103">
        <v>80.371693605048193</v>
      </c>
      <c r="E103" s="3" t="str">
        <f t="shared" si="1"/>
        <v>Include</v>
      </c>
    </row>
    <row r="104" spans="1:5" hidden="1">
      <c r="A104" t="s">
        <v>279</v>
      </c>
      <c r="B104" t="s">
        <v>280</v>
      </c>
      <c r="C104">
        <f>_xlfn.XLOOKUP(B104,'Metadata - Countries'!A:A,'Metadata - Countries'!B:B,"Not found")</f>
        <v>0</v>
      </c>
      <c r="D104">
        <v>56.3</v>
      </c>
      <c r="E104" s="3" t="str">
        <f t="shared" si="1"/>
        <v>Exclude</v>
      </c>
    </row>
    <row r="105" spans="1:5" hidden="1">
      <c r="A105" t="s">
        <v>281</v>
      </c>
      <c r="B105" t="s">
        <v>282</v>
      </c>
      <c r="C105">
        <f>_xlfn.XLOOKUP(B105,'Metadata - Countries'!A:A,'Metadata - Countries'!B:B,"Not found")</f>
        <v>0</v>
      </c>
      <c r="D105">
        <v>47.8</v>
      </c>
      <c r="E105" s="3" t="str">
        <f t="shared" si="1"/>
        <v>Exclude</v>
      </c>
    </row>
    <row r="106" spans="1:5" hidden="1">
      <c r="A106" t="s">
        <v>283</v>
      </c>
      <c r="B106" t="s">
        <v>284</v>
      </c>
      <c r="C106">
        <f>_xlfn.XLOOKUP(B106,'Metadata - Countries'!A:A,'Metadata - Countries'!B:B,"Not found")</f>
        <v>0</v>
      </c>
      <c r="D106">
        <v>24.2</v>
      </c>
      <c r="E106" s="3" t="str">
        <f t="shared" si="1"/>
        <v>Exclude</v>
      </c>
    </row>
    <row r="107" spans="1:5" hidden="1">
      <c r="A107" t="s">
        <v>285</v>
      </c>
      <c r="B107" t="s">
        <v>286</v>
      </c>
      <c r="C107">
        <f>_xlfn.XLOOKUP(B107,'Metadata - Countries'!A:A,'Metadata - Countries'!B:B,"Not found")</f>
        <v>0</v>
      </c>
      <c r="D107">
        <v>26.9</v>
      </c>
      <c r="E107" s="3" t="str">
        <f t="shared" si="1"/>
        <v>Exclude</v>
      </c>
    </row>
    <row r="108" spans="1:5">
      <c r="A108" t="s">
        <v>287</v>
      </c>
      <c r="B108" t="s">
        <v>288</v>
      </c>
      <c r="C108" t="str">
        <f>_xlfn.XLOOKUP(B108,'Metadata - Countries'!A:A,'Metadata - Countries'!B:B,"Not found")</f>
        <v>East Asia &amp; Pacific</v>
      </c>
      <c r="D108">
        <v>47.690648978837501</v>
      </c>
      <c r="E108" s="3" t="str">
        <f t="shared" si="1"/>
        <v>Include</v>
      </c>
    </row>
    <row r="109" spans="1:5" hidden="1">
      <c r="A109" t="s">
        <v>289</v>
      </c>
      <c r="B109" t="s">
        <v>290</v>
      </c>
      <c r="C109">
        <f>_xlfn.XLOOKUP(B109,'Metadata - Countries'!A:A,'Metadata - Countries'!B:B,"Not found")</f>
        <v>0</v>
      </c>
      <c r="D109">
        <v>22.8</v>
      </c>
      <c r="E109" s="3" t="str">
        <f t="shared" si="1"/>
        <v>Exclude</v>
      </c>
    </row>
    <row r="110" spans="1:5" hidden="1">
      <c r="A110" t="s">
        <v>291</v>
      </c>
      <c r="B110" t="s">
        <v>292</v>
      </c>
      <c r="C110" t="str">
        <f>_xlfn.XLOOKUP(B110,'Metadata - Countries'!A:A,'Metadata - Countries'!B:B,"Not found")</f>
        <v>Europe &amp; Central Asia</v>
      </c>
      <c r="E110" s="3" t="str">
        <f t="shared" si="1"/>
        <v>Exclude</v>
      </c>
    </row>
    <row r="111" spans="1:5">
      <c r="A111" t="s">
        <v>293</v>
      </c>
      <c r="B111" t="s">
        <v>294</v>
      </c>
      <c r="C111" t="str">
        <f>_xlfn.XLOOKUP(B111,'Metadata - Countries'!A:A,'Metadata - Countries'!B:B,"Not found")</f>
        <v>South Asia</v>
      </c>
      <c r="D111">
        <v>29.523500439999999</v>
      </c>
      <c r="E111" s="3" t="str">
        <f t="shared" si="1"/>
        <v>Include</v>
      </c>
    </row>
    <row r="112" spans="1:5" hidden="1">
      <c r="A112" t="s">
        <v>295</v>
      </c>
      <c r="B112" t="s">
        <v>296</v>
      </c>
      <c r="C112" t="str">
        <f>_xlfn.XLOOKUP(B112,'Metadata - Countries'!A:A,'Metadata - Countries'!B:B,"Not found")</f>
        <v>Not found</v>
      </c>
      <c r="E112" s="3" t="str">
        <f t="shared" si="1"/>
        <v>Exclude</v>
      </c>
    </row>
    <row r="113" spans="1:5">
      <c r="A113" t="s">
        <v>297</v>
      </c>
      <c r="B113" t="s">
        <v>298</v>
      </c>
      <c r="C113" t="str">
        <f>_xlfn.XLOOKUP(B113,'Metadata - Countries'!A:A,'Metadata - Countries'!B:B,"Not found")</f>
        <v>Europe &amp; Central Asia</v>
      </c>
      <c r="D113">
        <v>87.000055242514605</v>
      </c>
      <c r="E113" s="3" t="str">
        <f t="shared" si="1"/>
        <v>Include</v>
      </c>
    </row>
    <row r="114" spans="1:5">
      <c r="A114" t="s">
        <v>299</v>
      </c>
      <c r="B114" t="s">
        <v>300</v>
      </c>
      <c r="C114" t="str">
        <f>_xlfn.XLOOKUP(B114,'Metadata - Countries'!A:A,'Metadata - Countries'!B:B,"Not found")</f>
        <v>Middle East &amp; North Africa</v>
      </c>
      <c r="D114">
        <v>72.450904767206495</v>
      </c>
      <c r="E114" s="3" t="str">
        <f t="shared" si="1"/>
        <v>Include</v>
      </c>
    </row>
    <row r="115" spans="1:5">
      <c r="A115" t="s">
        <v>301</v>
      </c>
      <c r="B115" t="s">
        <v>302</v>
      </c>
      <c r="C115" t="str">
        <f>_xlfn.XLOOKUP(B115,'Metadata - Countries'!A:A,'Metadata - Countries'!B:B,"Not found")</f>
        <v>Middle East &amp; North Africa</v>
      </c>
      <c r="D115">
        <v>44.326346551157897</v>
      </c>
      <c r="E115" s="3" t="str">
        <f t="shared" si="1"/>
        <v>Include</v>
      </c>
    </row>
    <row r="116" spans="1:5">
      <c r="A116" t="s">
        <v>303</v>
      </c>
      <c r="B116" t="s">
        <v>304</v>
      </c>
      <c r="C116" t="str">
        <f>_xlfn.XLOOKUP(B116,'Metadata - Countries'!A:A,'Metadata - Countries'!B:B,"Not found")</f>
        <v>Europe &amp; Central Asia</v>
      </c>
      <c r="D116">
        <v>99.504941169378696</v>
      </c>
      <c r="E116" s="3" t="str">
        <f t="shared" si="1"/>
        <v>Include</v>
      </c>
    </row>
    <row r="117" spans="1:5">
      <c r="A117" t="s">
        <v>305</v>
      </c>
      <c r="B117" t="s">
        <v>306</v>
      </c>
      <c r="C117" t="str">
        <f>_xlfn.XLOOKUP(B117,'Metadata - Countries'!A:A,'Metadata - Countries'!B:B,"Not found")</f>
        <v>Middle East &amp; North Africa</v>
      </c>
      <c r="D117">
        <v>86.787877618058303</v>
      </c>
      <c r="E117" s="3" t="str">
        <f t="shared" si="1"/>
        <v>Include</v>
      </c>
    </row>
    <row r="118" spans="1:5">
      <c r="A118" t="s">
        <v>307</v>
      </c>
      <c r="B118" t="s">
        <v>308</v>
      </c>
      <c r="C118" t="str">
        <f>_xlfn.XLOOKUP(B118,'Metadata - Countries'!A:A,'Metadata - Countries'!B:B,"Not found")</f>
        <v>Europe &amp; Central Asia</v>
      </c>
      <c r="D118">
        <v>67.850710287483594</v>
      </c>
      <c r="E118" s="3" t="str">
        <f t="shared" si="1"/>
        <v>Include</v>
      </c>
    </row>
    <row r="119" spans="1:5">
      <c r="A119" t="s">
        <v>309</v>
      </c>
      <c r="B119" t="s">
        <v>310</v>
      </c>
      <c r="C119" t="str">
        <f>_xlfn.XLOOKUP(B119,'Metadata - Countries'!A:A,'Metadata - Countries'!B:B,"Not found")</f>
        <v>Latin America &amp; Caribbean</v>
      </c>
      <c r="D119">
        <v>70.841016974335602</v>
      </c>
      <c r="E119" s="3" t="str">
        <f t="shared" si="1"/>
        <v>Include</v>
      </c>
    </row>
    <row r="120" spans="1:5">
      <c r="A120" t="s">
        <v>311</v>
      </c>
      <c r="B120" t="s">
        <v>312</v>
      </c>
      <c r="C120" t="str">
        <f>_xlfn.XLOOKUP(B120,'Metadata - Countries'!A:A,'Metadata - Countries'!B:B,"Not found")</f>
        <v>Middle East &amp; North Africa</v>
      </c>
      <c r="D120">
        <v>70.084701539999998</v>
      </c>
      <c r="E120" s="3" t="str">
        <f t="shared" si="1"/>
        <v>Include</v>
      </c>
    </row>
    <row r="121" spans="1:5">
      <c r="A121" t="s">
        <v>313</v>
      </c>
      <c r="B121" t="s">
        <v>314</v>
      </c>
      <c r="C121" t="str">
        <f>_xlfn.XLOOKUP(B121,'Metadata - Countries'!A:A,'Metadata - Countries'!B:B,"Not found")</f>
        <v>East Asia &amp; Pacific</v>
      </c>
      <c r="D121">
        <v>92.730397814552504</v>
      </c>
      <c r="E121" s="3" t="str">
        <f t="shared" si="1"/>
        <v>Include</v>
      </c>
    </row>
    <row r="122" spans="1:5">
      <c r="A122" t="s">
        <v>315</v>
      </c>
      <c r="B122" t="s">
        <v>316</v>
      </c>
      <c r="C122" t="str">
        <f>_xlfn.XLOOKUP(B122,'Metadata - Countries'!A:A,'Metadata - Countries'!B:B,"Not found")</f>
        <v>Europe &amp; Central Asia</v>
      </c>
      <c r="D122">
        <v>81.877620474628401</v>
      </c>
      <c r="E122" s="3" t="str">
        <f t="shared" si="1"/>
        <v>Include</v>
      </c>
    </row>
    <row r="123" spans="1:5">
      <c r="A123" t="s">
        <v>317</v>
      </c>
      <c r="B123" t="s">
        <v>318</v>
      </c>
      <c r="C123" t="str">
        <f>_xlfn.XLOOKUP(B123,'Metadata - Countries'!A:A,'Metadata - Countries'!B:B,"Not found")</f>
        <v>Sub-Saharan Africa</v>
      </c>
      <c r="D123">
        <v>22.668773361817099</v>
      </c>
      <c r="E123" s="3" t="str">
        <f t="shared" si="1"/>
        <v>Include</v>
      </c>
    </row>
    <row r="124" spans="1:5">
      <c r="A124" t="s">
        <v>319</v>
      </c>
      <c r="B124" t="s">
        <v>320</v>
      </c>
      <c r="C124" t="str">
        <f>_xlfn.XLOOKUP(B124,'Metadata - Countries'!A:A,'Metadata - Countries'!B:B,"Not found")</f>
        <v>Europe &amp; Central Asia</v>
      </c>
      <c r="D124">
        <v>64.099999999999994</v>
      </c>
      <c r="E124" s="3" t="str">
        <f t="shared" si="1"/>
        <v>Include</v>
      </c>
    </row>
    <row r="125" spans="1:5">
      <c r="A125" t="s">
        <v>321</v>
      </c>
      <c r="B125" t="s">
        <v>322</v>
      </c>
      <c r="C125" t="str">
        <f>_xlfn.XLOOKUP(B125,'Metadata - Countries'!A:A,'Metadata - Countries'!B:B,"Not found")</f>
        <v>East Asia &amp; Pacific</v>
      </c>
      <c r="D125">
        <v>52.305878224498002</v>
      </c>
      <c r="E125" s="3" t="str">
        <f t="shared" si="1"/>
        <v>Include</v>
      </c>
    </row>
    <row r="126" spans="1:5">
      <c r="A126" t="s">
        <v>323</v>
      </c>
      <c r="B126" t="s">
        <v>324</v>
      </c>
      <c r="C126" t="str">
        <f>_xlfn.XLOOKUP(B126,'Metadata - Countries'!A:A,'Metadata - Countries'!B:B,"Not found")</f>
        <v>East Asia &amp; Pacific</v>
      </c>
      <c r="D126">
        <v>41.792999270000003</v>
      </c>
      <c r="E126" s="3" t="str">
        <f t="shared" si="1"/>
        <v>Include</v>
      </c>
    </row>
    <row r="127" spans="1:5">
      <c r="A127" t="s">
        <v>325</v>
      </c>
      <c r="B127" t="s">
        <v>326</v>
      </c>
      <c r="C127" t="str">
        <f>_xlfn.XLOOKUP(B127,'Metadata - Countries'!A:A,'Metadata - Countries'!B:B,"Not found")</f>
        <v>Latin America &amp; Caribbean</v>
      </c>
      <c r="D127">
        <v>69.434997559999999</v>
      </c>
      <c r="E127" s="3" t="str">
        <f t="shared" si="1"/>
        <v>Include</v>
      </c>
    </row>
    <row r="128" spans="1:5">
      <c r="A128" t="s">
        <v>327</v>
      </c>
      <c r="B128" t="s">
        <v>328</v>
      </c>
      <c r="C128" t="str">
        <f>_xlfn.XLOOKUP(B128,'Metadata - Countries'!A:A,'Metadata - Countries'!B:B,"Not found")</f>
        <v>East Asia &amp; Pacific</v>
      </c>
      <c r="D128">
        <v>96.157579184238998</v>
      </c>
      <c r="E128" s="3" t="str">
        <f t="shared" si="1"/>
        <v>Include</v>
      </c>
    </row>
    <row r="129" spans="1:5">
      <c r="A129" t="s">
        <v>329</v>
      </c>
      <c r="B129" t="s">
        <v>330</v>
      </c>
      <c r="C129" t="str">
        <f>_xlfn.XLOOKUP(B129,'Metadata - Countries'!A:A,'Metadata - Countries'!B:B,"Not found")</f>
        <v>Middle East &amp; North Africa</v>
      </c>
      <c r="D129">
        <v>99.542676451848905</v>
      </c>
      <c r="E129" s="3" t="str">
        <f t="shared" si="1"/>
        <v>Include</v>
      </c>
    </row>
    <row r="130" spans="1:5" hidden="1">
      <c r="A130" t="s">
        <v>331</v>
      </c>
      <c r="B130" t="s">
        <v>332</v>
      </c>
      <c r="C130">
        <f>_xlfn.XLOOKUP(B130,'Metadata - Countries'!A:A,'Metadata - Countries'!B:B,"Not found")</f>
        <v>0</v>
      </c>
      <c r="D130">
        <v>67.900000000000006</v>
      </c>
      <c r="E130" s="3" t="str">
        <f t="shared" si="1"/>
        <v>Exclude</v>
      </c>
    </row>
    <row r="131" spans="1:5">
      <c r="A131" t="s">
        <v>333</v>
      </c>
      <c r="B131" t="s">
        <v>334</v>
      </c>
      <c r="C131" t="str">
        <f>_xlfn.XLOOKUP(B131,'Metadata - Countries'!A:A,'Metadata - Countries'!B:B,"Not found")</f>
        <v>East Asia &amp; Pacific</v>
      </c>
      <c r="D131">
        <v>47.032299039999998</v>
      </c>
      <c r="E131" s="3" t="str">
        <f t="shared" ref="E131:E194" si="2">IF(AND(C131&lt;&gt;"",C131&lt;&gt;0,D131&lt;&gt;""),"Include","Exclude")</f>
        <v>Include</v>
      </c>
    </row>
    <row r="132" spans="1:5">
      <c r="A132" t="s">
        <v>335</v>
      </c>
      <c r="B132" t="s">
        <v>336</v>
      </c>
      <c r="C132" t="str">
        <f>_xlfn.XLOOKUP(B132,'Metadata - Countries'!A:A,'Metadata - Countries'!B:B,"Not found")</f>
        <v>Middle East &amp; North Africa</v>
      </c>
      <c r="D132">
        <v>81.481201170000006</v>
      </c>
      <c r="E132" s="3" t="str">
        <f t="shared" si="2"/>
        <v>Include</v>
      </c>
    </row>
    <row r="133" spans="1:5">
      <c r="A133" t="s">
        <v>337</v>
      </c>
      <c r="B133" t="s">
        <v>338</v>
      </c>
      <c r="C133" t="str">
        <f>_xlfn.XLOOKUP(B133,'Metadata - Countries'!A:A,'Metadata - Countries'!B:B,"Not found")</f>
        <v>Sub-Saharan Africa</v>
      </c>
      <c r="D133">
        <v>19.89579964</v>
      </c>
      <c r="E133" s="3" t="str">
        <f t="shared" si="2"/>
        <v>Include</v>
      </c>
    </row>
    <row r="134" spans="1:5">
      <c r="A134" t="s">
        <v>339</v>
      </c>
      <c r="B134" t="s">
        <v>340</v>
      </c>
      <c r="C134" t="str">
        <f>_xlfn.XLOOKUP(B134,'Metadata - Countries'!A:A,'Metadata - Countries'!B:B,"Not found")</f>
        <v>Middle East &amp; North Africa</v>
      </c>
      <c r="D134">
        <v>71.404098509999997</v>
      </c>
      <c r="E134" s="3" t="str">
        <f t="shared" si="2"/>
        <v>Include</v>
      </c>
    </row>
    <row r="135" spans="1:5">
      <c r="A135" t="s">
        <v>341</v>
      </c>
      <c r="B135" t="s">
        <v>342</v>
      </c>
      <c r="C135" t="str">
        <f>_xlfn.XLOOKUP(B135,'Metadata - Countries'!A:A,'Metadata - Countries'!B:B,"Not found")</f>
        <v>Latin America &amp; Caribbean</v>
      </c>
      <c r="D135">
        <v>61.080501560000002</v>
      </c>
      <c r="E135" s="3" t="str">
        <f t="shared" si="2"/>
        <v>Include</v>
      </c>
    </row>
    <row r="136" spans="1:5" hidden="1">
      <c r="A136" t="s">
        <v>343</v>
      </c>
      <c r="B136" t="s">
        <v>344</v>
      </c>
      <c r="C136">
        <f>_xlfn.XLOOKUP(B136,'Metadata - Countries'!A:A,'Metadata - Countries'!B:B,"Not found")</f>
        <v>0</v>
      </c>
      <c r="D136">
        <v>67.8</v>
      </c>
      <c r="E136" s="3" t="str">
        <f t="shared" si="2"/>
        <v>Exclude</v>
      </c>
    </row>
    <row r="137" spans="1:5" hidden="1">
      <c r="A137" t="s">
        <v>345</v>
      </c>
      <c r="B137" t="s">
        <v>346</v>
      </c>
      <c r="C137">
        <f>_xlfn.XLOOKUP(B137,'Metadata - Countries'!A:A,'Metadata - Countries'!B:B,"Not found")</f>
        <v>0</v>
      </c>
      <c r="D137">
        <v>21.2</v>
      </c>
      <c r="E137" s="3" t="str">
        <f t="shared" si="2"/>
        <v>Exclude</v>
      </c>
    </row>
    <row r="138" spans="1:5" hidden="1">
      <c r="A138" t="s">
        <v>347</v>
      </c>
      <c r="B138" t="s">
        <v>348</v>
      </c>
      <c r="C138">
        <f>_xlfn.XLOOKUP(B138,'Metadata - Countries'!A:A,'Metadata - Countries'!B:B,"Not found")</f>
        <v>0</v>
      </c>
      <c r="D138">
        <v>16.399999999999999</v>
      </c>
      <c r="E138" s="3" t="str">
        <f t="shared" si="2"/>
        <v>Exclude</v>
      </c>
    </row>
    <row r="139" spans="1:5">
      <c r="A139" t="s">
        <v>349</v>
      </c>
      <c r="B139" t="s">
        <v>350</v>
      </c>
      <c r="C139" t="str">
        <f>_xlfn.XLOOKUP(B139,'Metadata - Countries'!A:A,'Metadata - Countries'!B:B,"Not found")</f>
        <v>Europe &amp; Central Asia</v>
      </c>
      <c r="D139">
        <v>93.146102909999996</v>
      </c>
      <c r="E139" s="3" t="str">
        <f t="shared" si="2"/>
        <v>Include</v>
      </c>
    </row>
    <row r="140" spans="1:5">
      <c r="A140" t="s">
        <v>351</v>
      </c>
      <c r="B140" t="s">
        <v>352</v>
      </c>
      <c r="C140" t="str">
        <f>_xlfn.XLOOKUP(B140,'Metadata - Countries'!A:A,'Metadata - Countries'!B:B,"Not found")</f>
        <v>South Asia</v>
      </c>
      <c r="D140">
        <v>32.020900730000001</v>
      </c>
      <c r="E140" s="3" t="str">
        <f t="shared" si="2"/>
        <v>Include</v>
      </c>
    </row>
    <row r="141" spans="1:5" hidden="1">
      <c r="A141" t="s">
        <v>353</v>
      </c>
      <c r="B141" t="s">
        <v>354</v>
      </c>
      <c r="C141">
        <f>_xlfn.XLOOKUP(B141,'Metadata - Countries'!A:A,'Metadata - Countries'!B:B,"Not found")</f>
        <v>0</v>
      </c>
      <c r="D141">
        <v>33.4</v>
      </c>
      <c r="E141" s="3" t="str">
        <f t="shared" si="2"/>
        <v>Exclude</v>
      </c>
    </row>
    <row r="142" spans="1:5" hidden="1">
      <c r="A142" t="s">
        <v>355</v>
      </c>
      <c r="B142" t="s">
        <v>356</v>
      </c>
      <c r="C142">
        <f>_xlfn.XLOOKUP(B142,'Metadata - Countries'!A:A,'Metadata - Countries'!B:B,"Not found")</f>
        <v>0</v>
      </c>
      <c r="E142" s="3" t="str">
        <f t="shared" si="2"/>
        <v>Exclude</v>
      </c>
    </row>
    <row r="143" spans="1:5">
      <c r="A143" t="s">
        <v>357</v>
      </c>
      <c r="B143" t="s">
        <v>358</v>
      </c>
      <c r="C143" t="str">
        <f>_xlfn.XLOOKUP(B143,'Metadata - Countries'!A:A,'Metadata - Countries'!B:B,"Not found")</f>
        <v>Sub-Saharan Africa</v>
      </c>
      <c r="D143">
        <v>42.301733569272997</v>
      </c>
      <c r="E143" s="3" t="str">
        <f t="shared" si="2"/>
        <v>Include</v>
      </c>
    </row>
    <row r="144" spans="1:5" hidden="1">
      <c r="A144" t="s">
        <v>359</v>
      </c>
      <c r="B144" t="s">
        <v>360</v>
      </c>
      <c r="C144">
        <f>_xlfn.XLOOKUP(B144,'Metadata - Countries'!A:A,'Metadata - Countries'!B:B,"Not found")</f>
        <v>0</v>
      </c>
      <c r="E144" s="3" t="str">
        <f t="shared" si="2"/>
        <v>Exclude</v>
      </c>
    </row>
    <row r="145" spans="1:5">
      <c r="A145" t="s">
        <v>361</v>
      </c>
      <c r="B145" t="s">
        <v>362</v>
      </c>
      <c r="C145" t="str">
        <f>_xlfn.XLOOKUP(B145,'Metadata - Countries'!A:A,'Metadata - Countries'!B:B,"Not found")</f>
        <v>Europe &amp; Central Asia</v>
      </c>
      <c r="D145">
        <v>81.5818683764046</v>
      </c>
      <c r="E145" s="3" t="str">
        <f t="shared" si="2"/>
        <v>Include</v>
      </c>
    </row>
    <row r="146" spans="1:5">
      <c r="A146" t="s">
        <v>363</v>
      </c>
      <c r="B146" t="s">
        <v>364</v>
      </c>
      <c r="C146" t="str">
        <f>_xlfn.XLOOKUP(B146,'Metadata - Countries'!A:A,'Metadata - Countries'!B:B,"Not found")</f>
        <v>Europe &amp; Central Asia</v>
      </c>
      <c r="D146">
        <v>97.120635693272007</v>
      </c>
      <c r="E146" s="3" t="str">
        <f t="shared" si="2"/>
        <v>Include</v>
      </c>
    </row>
    <row r="147" spans="1:5">
      <c r="A147" t="s">
        <v>365</v>
      </c>
      <c r="B147" t="s">
        <v>366</v>
      </c>
      <c r="C147" t="str">
        <f>_xlfn.XLOOKUP(B147,'Metadata - Countries'!A:A,'Metadata - Countries'!B:B,"Not found")</f>
        <v>Europe &amp; Central Asia</v>
      </c>
      <c r="D147">
        <v>86.135456443430002</v>
      </c>
      <c r="E147" s="3" t="str">
        <f t="shared" si="2"/>
        <v>Include</v>
      </c>
    </row>
    <row r="148" spans="1:5">
      <c r="A148" t="s">
        <v>367</v>
      </c>
      <c r="B148" t="s">
        <v>368</v>
      </c>
      <c r="C148" t="str">
        <f>_xlfn.XLOOKUP(B148,'Metadata - Countries'!A:A,'Metadata - Countries'!B:B,"Not found")</f>
        <v>East Asia &amp; Pacific</v>
      </c>
      <c r="D148">
        <v>86.467925706258796</v>
      </c>
      <c r="E148" s="3" t="str">
        <f t="shared" si="2"/>
        <v>Include</v>
      </c>
    </row>
    <row r="149" spans="1:5" hidden="1">
      <c r="A149" t="s">
        <v>369</v>
      </c>
      <c r="B149" t="s">
        <v>370</v>
      </c>
      <c r="C149" t="str">
        <f>_xlfn.XLOOKUP(B149,'Metadata - Countries'!A:A,'Metadata - Countries'!B:B,"Not found")</f>
        <v>Latin America &amp; Caribbean</v>
      </c>
      <c r="E149" s="3" t="str">
        <f t="shared" si="2"/>
        <v>Exclude</v>
      </c>
    </row>
    <row r="150" spans="1:5">
      <c r="A150" t="s">
        <v>371</v>
      </c>
      <c r="B150" t="s">
        <v>372</v>
      </c>
      <c r="C150" t="str">
        <f>_xlfn.XLOOKUP(B150,'Metadata - Countries'!A:A,'Metadata - Countries'!B:B,"Not found")</f>
        <v>Middle East &amp; North Africa</v>
      </c>
      <c r="D150">
        <v>84.120363046760204</v>
      </c>
      <c r="E150" s="3" t="str">
        <f t="shared" si="2"/>
        <v>Include</v>
      </c>
    </row>
    <row r="151" spans="1:5">
      <c r="A151" t="s">
        <v>373</v>
      </c>
      <c r="B151" t="s">
        <v>374</v>
      </c>
      <c r="C151" t="str">
        <f>_xlfn.XLOOKUP(B151,'Metadata - Countries'!A:A,'Metadata - Countries'!B:B,"Not found")</f>
        <v>Europe &amp; Central Asia</v>
      </c>
      <c r="D151">
        <v>98</v>
      </c>
      <c r="E151" s="3" t="str">
        <f t="shared" si="2"/>
        <v>Include</v>
      </c>
    </row>
    <row r="152" spans="1:5">
      <c r="A152" t="s">
        <v>375</v>
      </c>
      <c r="B152" t="s">
        <v>376</v>
      </c>
      <c r="C152" t="str">
        <f>_xlfn.XLOOKUP(B152,'Metadata - Countries'!A:A,'Metadata - Countries'!B:B,"Not found")</f>
        <v>Europe &amp; Central Asia</v>
      </c>
      <c r="D152">
        <v>73.326103209999999</v>
      </c>
      <c r="E152" s="3" t="str">
        <f t="shared" si="2"/>
        <v>Include</v>
      </c>
    </row>
    <row r="153" spans="1:5">
      <c r="A153" t="s">
        <v>377</v>
      </c>
      <c r="B153" t="s">
        <v>378</v>
      </c>
      <c r="C153" t="str">
        <f>_xlfn.XLOOKUP(B153,'Metadata - Countries'!A:A,'Metadata - Countries'!B:B,"Not found")</f>
        <v>Sub-Saharan Africa</v>
      </c>
      <c r="D153">
        <v>9.379400253</v>
      </c>
      <c r="E153" s="3" t="str">
        <f t="shared" si="2"/>
        <v>Include</v>
      </c>
    </row>
    <row r="154" spans="1:5">
      <c r="A154" t="s">
        <v>379</v>
      </c>
      <c r="B154" t="s">
        <v>380</v>
      </c>
      <c r="C154" t="str">
        <f>_xlfn.XLOOKUP(B154,'Metadata - Countries'!A:A,'Metadata - Countries'!B:B,"Not found")</f>
        <v>South Asia</v>
      </c>
      <c r="D154">
        <v>77.469703670000001</v>
      </c>
      <c r="E154" s="3" t="str">
        <f t="shared" si="2"/>
        <v>Include</v>
      </c>
    </row>
    <row r="155" spans="1:5" hidden="1">
      <c r="A155" t="s">
        <v>381</v>
      </c>
      <c r="B155" t="s">
        <v>382</v>
      </c>
      <c r="C155">
        <f>_xlfn.XLOOKUP(B155,'Metadata - Countries'!A:A,'Metadata - Countries'!B:B,"Not found")</f>
        <v>0</v>
      </c>
      <c r="D155">
        <v>46</v>
      </c>
      <c r="E155" s="3" t="str">
        <f t="shared" si="2"/>
        <v>Exclude</v>
      </c>
    </row>
    <row r="156" spans="1:5">
      <c r="A156" t="s">
        <v>383</v>
      </c>
      <c r="B156" t="s">
        <v>384</v>
      </c>
      <c r="C156" t="str">
        <f>_xlfn.XLOOKUP(B156,'Metadata - Countries'!A:A,'Metadata - Countries'!B:B,"Not found")</f>
        <v>Latin America &amp; Caribbean</v>
      </c>
      <c r="D156">
        <v>69.6321092705209</v>
      </c>
      <c r="E156" s="3" t="str">
        <f t="shared" si="2"/>
        <v>Include</v>
      </c>
    </row>
    <row r="157" spans="1:5">
      <c r="A157" t="s">
        <v>385</v>
      </c>
      <c r="B157" t="s">
        <v>386</v>
      </c>
      <c r="C157" t="str">
        <f>_xlfn.XLOOKUP(B157,'Metadata - Countries'!A:A,'Metadata - Countries'!B:B,"Not found")</f>
        <v>East Asia &amp; Pacific</v>
      </c>
      <c r="D157">
        <v>49.757499690000003</v>
      </c>
      <c r="E157" s="3" t="str">
        <f t="shared" si="2"/>
        <v>Include</v>
      </c>
    </row>
    <row r="158" spans="1:5" hidden="1">
      <c r="A158" t="s">
        <v>387</v>
      </c>
      <c r="B158" t="s">
        <v>388</v>
      </c>
      <c r="C158">
        <f>_xlfn.XLOOKUP(B158,'Metadata - Countries'!A:A,'Metadata - Countries'!B:B,"Not found")</f>
        <v>0</v>
      </c>
      <c r="E158" s="3" t="str">
        <f t="shared" si="2"/>
        <v>Exclude</v>
      </c>
    </row>
    <row r="159" spans="1:5">
      <c r="A159" t="s">
        <v>389</v>
      </c>
      <c r="B159" t="s">
        <v>390</v>
      </c>
      <c r="C159" t="str">
        <f>_xlfn.XLOOKUP(B159,'Metadata - Countries'!A:A,'Metadata - Countries'!B:B,"Not found")</f>
        <v>Europe &amp; Central Asia</v>
      </c>
      <c r="D159">
        <v>81.4128827618364</v>
      </c>
      <c r="E159" s="3" t="str">
        <f t="shared" si="2"/>
        <v>Include</v>
      </c>
    </row>
    <row r="160" spans="1:5">
      <c r="A160" t="s">
        <v>391</v>
      </c>
      <c r="B160" t="s">
        <v>392</v>
      </c>
      <c r="C160" t="str">
        <f>_xlfn.XLOOKUP(B160,'Metadata - Countries'!A:A,'Metadata - Countries'!B:B,"Not found")</f>
        <v>Sub-Saharan Africa</v>
      </c>
      <c r="D160">
        <v>24.960300449999998</v>
      </c>
      <c r="E160" s="3" t="str">
        <f t="shared" si="2"/>
        <v>Include</v>
      </c>
    </row>
    <row r="161" spans="1:5">
      <c r="A161" t="s">
        <v>393</v>
      </c>
      <c r="B161" t="s">
        <v>394</v>
      </c>
      <c r="C161" t="str">
        <f>_xlfn.XLOOKUP(B161,'Metadata - Countries'!A:A,'Metadata - Countries'!B:B,"Not found")</f>
        <v>Middle East &amp; North Africa</v>
      </c>
      <c r="D161">
        <v>85.778596379803105</v>
      </c>
      <c r="E161" s="3" t="str">
        <f t="shared" si="2"/>
        <v>Include</v>
      </c>
    </row>
    <row r="162" spans="1:5">
      <c r="A162" t="s">
        <v>395</v>
      </c>
      <c r="B162" t="s">
        <v>396</v>
      </c>
      <c r="C162" t="str">
        <f>_xlfn.XLOOKUP(B162,'Metadata - Countries'!A:A,'Metadata - Countries'!B:B,"Not found")</f>
        <v>East Asia &amp; Pacific</v>
      </c>
      <c r="D162">
        <v>36.540500639999998</v>
      </c>
      <c r="E162" s="3" t="str">
        <f t="shared" si="2"/>
        <v>Include</v>
      </c>
    </row>
    <row r="163" spans="1:5" hidden="1">
      <c r="A163" t="s">
        <v>397</v>
      </c>
      <c r="B163" t="s">
        <v>398</v>
      </c>
      <c r="C163">
        <f>_xlfn.XLOOKUP(B163,'Metadata - Countries'!A:A,'Metadata - Countries'!B:B,"Not found")</f>
        <v>0</v>
      </c>
      <c r="D163">
        <v>41.5</v>
      </c>
      <c r="E163" s="3" t="str">
        <f t="shared" si="2"/>
        <v>Exclude</v>
      </c>
    </row>
    <row r="164" spans="1:5">
      <c r="A164" t="s">
        <v>399</v>
      </c>
      <c r="B164" t="s">
        <v>400</v>
      </c>
      <c r="C164" t="str">
        <f>_xlfn.XLOOKUP(B164,'Metadata - Countries'!A:A,'Metadata - Countries'!B:B,"Not found")</f>
        <v>Europe &amp; Central Asia</v>
      </c>
      <c r="D164">
        <v>73.476665747869106</v>
      </c>
      <c r="E164" s="3" t="str">
        <f t="shared" si="2"/>
        <v>Include</v>
      </c>
    </row>
    <row r="165" spans="1:5">
      <c r="A165" t="s">
        <v>401</v>
      </c>
      <c r="B165" t="s">
        <v>402</v>
      </c>
      <c r="C165" t="str">
        <f>_xlfn.XLOOKUP(B165,'Metadata - Countries'!A:A,'Metadata - Countries'!B:B,"Not found")</f>
        <v>East Asia &amp; Pacific</v>
      </c>
      <c r="D165">
        <v>51.079994082603001</v>
      </c>
      <c r="E165" s="3" t="str">
        <f t="shared" si="2"/>
        <v>Include</v>
      </c>
    </row>
    <row r="166" spans="1:5" hidden="1">
      <c r="A166" t="s">
        <v>403</v>
      </c>
      <c r="B166" t="s">
        <v>404</v>
      </c>
      <c r="C166" t="str">
        <f>_xlfn.XLOOKUP(B166,'Metadata - Countries'!A:A,'Metadata - Countries'!B:B,"Not found")</f>
        <v>East Asia &amp; Pacific</v>
      </c>
      <c r="E166" s="3" t="str">
        <f t="shared" si="2"/>
        <v>Exclude</v>
      </c>
    </row>
    <row r="167" spans="1:5">
      <c r="A167" t="s">
        <v>405</v>
      </c>
      <c r="B167" t="s">
        <v>406</v>
      </c>
      <c r="C167" t="str">
        <f>_xlfn.XLOOKUP(B167,'Metadata - Countries'!A:A,'Metadata - Countries'!B:B,"Not found")</f>
        <v>Sub-Saharan Africa</v>
      </c>
      <c r="D167">
        <v>12.47929955</v>
      </c>
      <c r="E167" s="3" t="str">
        <f t="shared" si="2"/>
        <v>Include</v>
      </c>
    </row>
    <row r="168" spans="1:5">
      <c r="A168" t="s">
        <v>407</v>
      </c>
      <c r="B168" t="s">
        <v>408</v>
      </c>
      <c r="C168" t="str">
        <f>_xlfn.XLOOKUP(B168,'Metadata - Countries'!A:A,'Metadata - Countries'!B:B,"Not found")</f>
        <v>Sub-Saharan Africa</v>
      </c>
      <c r="D168">
        <v>25.097799299999998</v>
      </c>
      <c r="E168" s="3" t="str">
        <f t="shared" si="2"/>
        <v>Include</v>
      </c>
    </row>
    <row r="169" spans="1:5">
      <c r="A169" t="s">
        <v>409</v>
      </c>
      <c r="B169" t="s">
        <v>410</v>
      </c>
      <c r="C169" t="str">
        <f>_xlfn.XLOOKUP(B169,'Metadata - Countries'!A:A,'Metadata - Countries'!B:B,"Not found")</f>
        <v>Sub-Saharan Africa</v>
      </c>
      <c r="D169">
        <v>61.7299551453346</v>
      </c>
      <c r="E169" s="3" t="str">
        <f t="shared" si="2"/>
        <v>Include</v>
      </c>
    </row>
    <row r="170" spans="1:5">
      <c r="A170" t="s">
        <v>411</v>
      </c>
      <c r="B170" t="s">
        <v>412</v>
      </c>
      <c r="C170" t="str">
        <f>_xlfn.XLOOKUP(B170,'Metadata - Countries'!A:A,'Metadata - Countries'!B:B,"Not found")</f>
        <v>Sub-Saharan Africa</v>
      </c>
      <c r="D170">
        <v>11.05860043</v>
      </c>
      <c r="E170" s="3" t="str">
        <f t="shared" si="2"/>
        <v>Include</v>
      </c>
    </row>
    <row r="171" spans="1:5">
      <c r="A171" t="s">
        <v>413</v>
      </c>
      <c r="B171" t="s">
        <v>414</v>
      </c>
      <c r="C171" t="str">
        <f>_xlfn.XLOOKUP(B171,'Metadata - Countries'!A:A,'Metadata - Countries'!B:B,"Not found")</f>
        <v>East Asia &amp; Pacific</v>
      </c>
      <c r="D171">
        <v>84.187145007828093</v>
      </c>
      <c r="E171" s="3" t="str">
        <f t="shared" si="2"/>
        <v>Include</v>
      </c>
    </row>
    <row r="172" spans="1:5" hidden="1">
      <c r="A172" t="s">
        <v>415</v>
      </c>
      <c r="B172" t="s">
        <v>416</v>
      </c>
      <c r="C172">
        <f>_xlfn.XLOOKUP(B172,'Metadata - Countries'!A:A,'Metadata - Countries'!B:B,"Not found")</f>
        <v>0</v>
      </c>
      <c r="D172">
        <v>89.7</v>
      </c>
      <c r="E172" s="3" t="str">
        <f t="shared" si="2"/>
        <v>Exclude</v>
      </c>
    </row>
    <row r="173" spans="1:5">
      <c r="A173" t="s">
        <v>417</v>
      </c>
      <c r="B173" t="s">
        <v>418</v>
      </c>
      <c r="C173" t="str">
        <f>_xlfn.XLOOKUP(B173,'Metadata - Countries'!A:A,'Metadata - Countries'!B:B,"Not found")</f>
        <v>Sub-Saharan Africa</v>
      </c>
      <c r="D173">
        <v>49.775901789999999</v>
      </c>
      <c r="E173" s="3" t="str">
        <f t="shared" si="2"/>
        <v>Include</v>
      </c>
    </row>
    <row r="174" spans="1:5" hidden="1">
      <c r="A174" t="s">
        <v>419</v>
      </c>
      <c r="B174" t="s">
        <v>420</v>
      </c>
      <c r="C174" t="str">
        <f>_xlfn.XLOOKUP(B174,'Metadata - Countries'!A:A,'Metadata - Countries'!B:B,"Not found")</f>
        <v>East Asia &amp; Pacific</v>
      </c>
      <c r="E174" s="3" t="str">
        <f t="shared" si="2"/>
        <v>Exclude</v>
      </c>
    </row>
    <row r="175" spans="1:5">
      <c r="A175" t="s">
        <v>421</v>
      </c>
      <c r="B175" t="s">
        <v>422</v>
      </c>
      <c r="C175" t="str">
        <f>_xlfn.XLOOKUP(B175,'Metadata - Countries'!A:A,'Metadata - Countries'!B:B,"Not found")</f>
        <v>Sub-Saharan Africa</v>
      </c>
      <c r="D175">
        <v>11.285499570000001</v>
      </c>
      <c r="E175" s="3" t="str">
        <f t="shared" si="2"/>
        <v>Include</v>
      </c>
    </row>
    <row r="176" spans="1:5">
      <c r="A176" t="s">
        <v>423</v>
      </c>
      <c r="B176" t="s">
        <v>424</v>
      </c>
      <c r="C176" t="str">
        <f>_xlfn.XLOOKUP(B176,'Metadata - Countries'!A:A,'Metadata - Countries'!B:B,"Not found")</f>
        <v>Sub-Saharan Africa</v>
      </c>
      <c r="D176">
        <v>29.744100570000001</v>
      </c>
      <c r="E176" s="3" t="str">
        <f t="shared" si="2"/>
        <v>Include</v>
      </c>
    </row>
    <row r="177" spans="1:5">
      <c r="A177" t="s">
        <v>425</v>
      </c>
      <c r="B177" t="s">
        <v>426</v>
      </c>
      <c r="C177" t="str">
        <f>_xlfn.XLOOKUP(B177,'Metadata - Countries'!A:A,'Metadata - Countries'!B:B,"Not found")</f>
        <v>Latin America &amp; Caribbean</v>
      </c>
      <c r="D177">
        <v>39.010799409999997</v>
      </c>
      <c r="E177" s="3" t="str">
        <f t="shared" si="2"/>
        <v>Include</v>
      </c>
    </row>
    <row r="178" spans="1:5">
      <c r="A178" t="s">
        <v>427</v>
      </c>
      <c r="B178" t="s">
        <v>428</v>
      </c>
      <c r="C178" t="str">
        <f>_xlfn.XLOOKUP(B178,'Metadata - Countries'!A:A,'Metadata - Countries'!B:B,"Not found")</f>
        <v>Europe &amp; Central Asia</v>
      </c>
      <c r="D178">
        <v>93.288590604026894</v>
      </c>
      <c r="E178" s="3" t="str">
        <f t="shared" si="2"/>
        <v>Include</v>
      </c>
    </row>
    <row r="179" spans="1:5">
      <c r="A179" t="s">
        <v>429</v>
      </c>
      <c r="B179" t="s">
        <v>430</v>
      </c>
      <c r="C179" t="str">
        <f>_xlfn.XLOOKUP(B179,'Metadata - Countries'!A:A,'Metadata - Countries'!B:B,"Not found")</f>
        <v>Europe &amp; Central Asia</v>
      </c>
      <c r="D179">
        <v>98.000004385314199</v>
      </c>
      <c r="E179" s="3" t="str">
        <f t="shared" si="2"/>
        <v>Include</v>
      </c>
    </row>
    <row r="180" spans="1:5">
      <c r="A180" t="s">
        <v>431</v>
      </c>
      <c r="B180" t="s">
        <v>432</v>
      </c>
      <c r="C180" t="str">
        <f>_xlfn.XLOOKUP(B180,'Metadata - Countries'!A:A,'Metadata - Countries'!B:B,"Not found")</f>
        <v>South Asia</v>
      </c>
      <c r="D180">
        <v>33.336601260000002</v>
      </c>
      <c r="E180" s="3" t="str">
        <f t="shared" si="2"/>
        <v>Include</v>
      </c>
    </row>
    <row r="181" spans="1:5">
      <c r="A181" t="s">
        <v>433</v>
      </c>
      <c r="B181" t="s">
        <v>434</v>
      </c>
      <c r="C181" t="str">
        <f>_xlfn.XLOOKUP(B181,'Metadata - Countries'!A:A,'Metadata - Countries'!B:B,"Not found")</f>
        <v>East Asia &amp; Pacific</v>
      </c>
      <c r="D181">
        <v>74.737899780000006</v>
      </c>
      <c r="E181" s="3" t="str">
        <f t="shared" si="2"/>
        <v>Include</v>
      </c>
    </row>
    <row r="182" spans="1:5">
      <c r="A182" t="s">
        <v>435</v>
      </c>
      <c r="B182" t="s">
        <v>436</v>
      </c>
      <c r="C182" t="str">
        <f>_xlfn.XLOOKUP(B182,'Metadata - Countries'!A:A,'Metadata - Countries'!B:B,"Not found")</f>
        <v>East Asia &amp; Pacific</v>
      </c>
      <c r="D182">
        <v>89.863700870000002</v>
      </c>
      <c r="E182" s="3" t="str">
        <f t="shared" si="2"/>
        <v>Include</v>
      </c>
    </row>
    <row r="183" spans="1:5" hidden="1">
      <c r="A183" t="s">
        <v>437</v>
      </c>
      <c r="B183" t="s">
        <v>438</v>
      </c>
      <c r="C183">
        <f>_xlfn.XLOOKUP(B183,'Metadata - Countries'!A:A,'Metadata - Countries'!B:B,"Not found")</f>
        <v>0</v>
      </c>
      <c r="E183" s="3" t="str">
        <f t="shared" si="2"/>
        <v>Exclude</v>
      </c>
    </row>
    <row r="184" spans="1:5">
      <c r="A184" t="s">
        <v>439</v>
      </c>
      <c r="B184" t="s">
        <v>440</v>
      </c>
      <c r="C184" t="str">
        <f>_xlfn.XLOOKUP(B184,'Metadata - Countries'!A:A,'Metadata - Countries'!B:B,"Not found")</f>
        <v>Middle East &amp; North Africa</v>
      </c>
      <c r="D184">
        <v>90.25939941</v>
      </c>
      <c r="E184" s="3" t="str">
        <f t="shared" si="2"/>
        <v>Include</v>
      </c>
    </row>
    <row r="185" spans="1:5" hidden="1">
      <c r="A185" t="s">
        <v>441</v>
      </c>
      <c r="B185" t="s">
        <v>442</v>
      </c>
      <c r="C185">
        <f>_xlfn.XLOOKUP(B185,'Metadata - Countries'!A:A,'Metadata - Countries'!B:B,"Not found")</f>
        <v>0</v>
      </c>
      <c r="E185" s="3" t="str">
        <f t="shared" si="2"/>
        <v>Exclude</v>
      </c>
    </row>
    <row r="186" spans="1:5">
      <c r="A186" t="s">
        <v>443</v>
      </c>
      <c r="B186" t="s">
        <v>444</v>
      </c>
      <c r="C186" t="str">
        <f>_xlfn.XLOOKUP(B186,'Metadata - Countries'!A:A,'Metadata - Countries'!B:B,"Not found")</f>
        <v>Middle East &amp; North Africa</v>
      </c>
      <c r="D186">
        <v>17.070901719916002</v>
      </c>
      <c r="E186" s="3" t="str">
        <f t="shared" si="2"/>
        <v>Include</v>
      </c>
    </row>
    <row r="187" spans="1:5">
      <c r="A187" t="s">
        <v>445</v>
      </c>
      <c r="B187" t="s">
        <v>446</v>
      </c>
      <c r="C187" t="str">
        <f>_xlfn.XLOOKUP(B187,'Metadata - Countries'!A:A,'Metadata - Countries'!B:B,"Not found")</f>
        <v>Latin America &amp; Caribbean</v>
      </c>
      <c r="D187">
        <v>63.628414773145103</v>
      </c>
      <c r="E187" s="3" t="str">
        <f t="shared" si="2"/>
        <v>Include</v>
      </c>
    </row>
    <row r="188" spans="1:5">
      <c r="A188" t="s">
        <v>447</v>
      </c>
      <c r="B188" t="s">
        <v>448</v>
      </c>
      <c r="C188" t="str">
        <f>_xlfn.XLOOKUP(B188,'Metadata - Countries'!A:A,'Metadata - Countries'!B:B,"Not found")</f>
        <v>Latin America &amp; Caribbean</v>
      </c>
      <c r="D188">
        <v>59.950503604900597</v>
      </c>
      <c r="E188" s="3" t="str">
        <f t="shared" si="2"/>
        <v>Include</v>
      </c>
    </row>
    <row r="189" spans="1:5">
      <c r="A189" t="s">
        <v>449</v>
      </c>
      <c r="B189" t="s">
        <v>450</v>
      </c>
      <c r="C189" t="str">
        <f>_xlfn.XLOOKUP(B189,'Metadata - Countries'!A:A,'Metadata - Countries'!B:B,"Not found")</f>
        <v>East Asia &amp; Pacific</v>
      </c>
      <c r="D189">
        <v>43.026611868027899</v>
      </c>
      <c r="E189" s="3" t="str">
        <f t="shared" si="2"/>
        <v>Include</v>
      </c>
    </row>
    <row r="190" spans="1:5" hidden="1">
      <c r="A190" t="s">
        <v>451</v>
      </c>
      <c r="B190" t="s">
        <v>452</v>
      </c>
      <c r="C190" t="str">
        <f>_xlfn.XLOOKUP(B190,'Metadata - Countries'!A:A,'Metadata - Countries'!B:B,"Not found")</f>
        <v>East Asia &amp; Pacific</v>
      </c>
      <c r="E190" s="3" t="str">
        <f t="shared" si="2"/>
        <v>Exclude</v>
      </c>
    </row>
    <row r="191" spans="1:5">
      <c r="A191" t="s">
        <v>453</v>
      </c>
      <c r="B191" t="s">
        <v>454</v>
      </c>
      <c r="C191" t="str">
        <f>_xlfn.XLOOKUP(B191,'Metadata - Countries'!A:A,'Metadata - Countries'!B:B,"Not found")</f>
        <v>East Asia &amp; Pacific</v>
      </c>
      <c r="D191">
        <v>13.62419987</v>
      </c>
      <c r="E191" s="3" t="str">
        <f t="shared" si="2"/>
        <v>Include</v>
      </c>
    </row>
    <row r="192" spans="1:5">
      <c r="A192" t="s">
        <v>455</v>
      </c>
      <c r="B192" t="s">
        <v>456</v>
      </c>
      <c r="C192" t="str">
        <f>_xlfn.XLOOKUP(B192,'Metadata - Countries'!A:A,'Metadata - Countries'!B:B,"Not found")</f>
        <v>Europe &amp; Central Asia</v>
      </c>
      <c r="D192">
        <v>80.435906876867307</v>
      </c>
      <c r="E192" s="3" t="str">
        <f t="shared" si="2"/>
        <v>Include</v>
      </c>
    </row>
    <row r="193" spans="1:5" hidden="1">
      <c r="A193" t="s">
        <v>457</v>
      </c>
      <c r="B193" t="s">
        <v>458</v>
      </c>
      <c r="C193">
        <f>_xlfn.XLOOKUP(B193,'Metadata - Countries'!A:A,'Metadata - Countries'!B:B,"Not found")</f>
        <v>0</v>
      </c>
      <c r="E193" s="3" t="str">
        <f t="shared" si="2"/>
        <v>Exclude</v>
      </c>
    </row>
    <row r="194" spans="1:5">
      <c r="A194" t="s">
        <v>459</v>
      </c>
      <c r="B194" t="s">
        <v>460</v>
      </c>
      <c r="C194" t="str">
        <f>_xlfn.XLOOKUP(B194,'Metadata - Countries'!A:A,'Metadata - Countries'!B:B,"Not found")</f>
        <v>Latin America &amp; Caribbean</v>
      </c>
      <c r="D194">
        <v>77.7364393708352</v>
      </c>
      <c r="E194" s="3" t="str">
        <f t="shared" si="2"/>
        <v>Include</v>
      </c>
    </row>
    <row r="195" spans="1:5" hidden="1">
      <c r="A195" t="s">
        <v>461</v>
      </c>
      <c r="B195" t="s">
        <v>462</v>
      </c>
      <c r="C195" t="str">
        <f>_xlfn.XLOOKUP(B195,'Metadata - Countries'!A:A,'Metadata - Countries'!B:B,"Not found")</f>
        <v>East Asia &amp; Pacific</v>
      </c>
      <c r="E195" s="3" t="str">
        <f t="shared" ref="E195:E258" si="3">IF(AND(C195&lt;&gt;"",C195&lt;&gt;0,D195&lt;&gt;""),"Include","Exclude")</f>
        <v>Exclude</v>
      </c>
    </row>
    <row r="196" spans="1:5">
      <c r="A196" t="s">
        <v>463</v>
      </c>
      <c r="B196" t="s">
        <v>464</v>
      </c>
      <c r="C196" t="str">
        <f>_xlfn.XLOOKUP(B196,'Metadata - Countries'!A:A,'Metadata - Countries'!B:B,"Not found")</f>
        <v>Europe &amp; Central Asia</v>
      </c>
      <c r="D196">
        <v>75.346377940871207</v>
      </c>
      <c r="E196" s="3" t="str">
        <f t="shared" si="3"/>
        <v>Include</v>
      </c>
    </row>
    <row r="197" spans="1:5">
      <c r="A197" t="s">
        <v>465</v>
      </c>
      <c r="B197" t="s">
        <v>466</v>
      </c>
      <c r="C197" t="str">
        <f>_xlfn.XLOOKUP(B197,'Metadata - Countries'!A:A,'Metadata - Countries'!B:B,"Not found")</f>
        <v>Latin America &amp; Caribbean</v>
      </c>
      <c r="D197">
        <v>68.517628422226394</v>
      </c>
      <c r="E197" s="3" t="str">
        <f t="shared" si="3"/>
        <v>Include</v>
      </c>
    </row>
    <row r="198" spans="1:5">
      <c r="A198" t="s">
        <v>467</v>
      </c>
      <c r="B198" t="s">
        <v>468</v>
      </c>
      <c r="C198" t="str">
        <f>_xlfn.XLOOKUP(B198,'Metadata - Countries'!A:A,'Metadata - Countries'!B:B,"Not found")</f>
        <v>Middle East &amp; North Africa</v>
      </c>
      <c r="D198">
        <v>70.622583700175795</v>
      </c>
      <c r="E198" s="3" t="str">
        <f t="shared" si="3"/>
        <v>Include</v>
      </c>
    </row>
    <row r="199" spans="1:5" hidden="1">
      <c r="A199" t="s">
        <v>469</v>
      </c>
      <c r="B199" t="s">
        <v>470</v>
      </c>
      <c r="C199">
        <f>_xlfn.XLOOKUP(B199,'Metadata - Countries'!A:A,'Metadata - Countries'!B:B,"Not found")</f>
        <v>0</v>
      </c>
      <c r="E199" s="3" t="str">
        <f t="shared" si="3"/>
        <v>Exclude</v>
      </c>
    </row>
    <row r="200" spans="1:5" hidden="1">
      <c r="A200" t="s">
        <v>471</v>
      </c>
      <c r="B200" t="s">
        <v>472</v>
      </c>
      <c r="C200">
        <f>_xlfn.XLOOKUP(B200,'Metadata - Countries'!A:A,'Metadata - Countries'!B:B,"Not found")</f>
        <v>0</v>
      </c>
      <c r="E200" s="3" t="str">
        <f t="shared" si="3"/>
        <v>Exclude</v>
      </c>
    </row>
    <row r="201" spans="1:5" hidden="1">
      <c r="A201" t="s">
        <v>473</v>
      </c>
      <c r="B201" t="s">
        <v>474</v>
      </c>
      <c r="C201" t="str">
        <f>_xlfn.XLOOKUP(B201,'Metadata - Countries'!A:A,'Metadata - Countries'!B:B,"Not found")</f>
        <v>East Asia &amp; Pacific</v>
      </c>
      <c r="E201" s="3" t="str">
        <f t="shared" si="3"/>
        <v>Exclude</v>
      </c>
    </row>
    <row r="202" spans="1:5">
      <c r="A202" t="s">
        <v>475</v>
      </c>
      <c r="B202" t="s">
        <v>476</v>
      </c>
      <c r="C202" t="str">
        <f>_xlfn.XLOOKUP(B202,'Metadata - Countries'!A:A,'Metadata - Countries'!B:B,"Not found")</f>
        <v>Middle East &amp; North Africa</v>
      </c>
      <c r="D202">
        <v>99.652804208638898</v>
      </c>
      <c r="E202" s="3" t="str">
        <f t="shared" si="3"/>
        <v>Include</v>
      </c>
    </row>
    <row r="203" spans="1:5">
      <c r="A203" t="s">
        <v>477</v>
      </c>
      <c r="B203" t="s">
        <v>478</v>
      </c>
      <c r="C203" t="str">
        <f>_xlfn.XLOOKUP(B203,'Metadata - Countries'!A:A,'Metadata - Countries'!B:B,"Not found")</f>
        <v>Europe &amp; Central Asia</v>
      </c>
      <c r="D203">
        <v>73.657475754546496</v>
      </c>
      <c r="E203" s="3" t="str">
        <f t="shared" si="3"/>
        <v>Include</v>
      </c>
    </row>
    <row r="204" spans="1:5">
      <c r="A204" t="s">
        <v>479</v>
      </c>
      <c r="B204" t="s">
        <v>480</v>
      </c>
      <c r="C204" t="str">
        <f>_xlfn.XLOOKUP(B204,'Metadata - Countries'!A:A,'Metadata - Countries'!B:B,"Not found")</f>
        <v>Europe &amp; Central Asia</v>
      </c>
      <c r="D204">
        <v>82.642161867066804</v>
      </c>
      <c r="E204" s="3" t="str">
        <f t="shared" si="3"/>
        <v>Include</v>
      </c>
    </row>
    <row r="205" spans="1:5">
      <c r="A205" t="s">
        <v>481</v>
      </c>
      <c r="B205" t="s">
        <v>482</v>
      </c>
      <c r="C205" t="str">
        <f>_xlfn.XLOOKUP(B205,'Metadata - Countries'!A:A,'Metadata - Countries'!B:B,"Not found")</f>
        <v>Sub-Saharan Africa</v>
      </c>
      <c r="D205">
        <v>21.357999800000002</v>
      </c>
      <c r="E205" s="3" t="str">
        <f t="shared" si="3"/>
        <v>Include</v>
      </c>
    </row>
    <row r="206" spans="1:5" hidden="1">
      <c r="A206" t="s">
        <v>483</v>
      </c>
      <c r="B206" t="s">
        <v>484</v>
      </c>
      <c r="C206">
        <f>_xlfn.XLOOKUP(B206,'Metadata - Countries'!A:A,'Metadata - Countries'!B:B,"Not found")</f>
        <v>0</v>
      </c>
      <c r="D206">
        <v>29.7</v>
      </c>
      <c r="E206" s="3" t="str">
        <f t="shared" si="3"/>
        <v>Exclude</v>
      </c>
    </row>
    <row r="207" spans="1:5">
      <c r="A207" t="s">
        <v>485</v>
      </c>
      <c r="B207" t="s">
        <v>486</v>
      </c>
      <c r="C207" t="str">
        <f>_xlfn.XLOOKUP(B207,'Metadata - Countries'!A:A,'Metadata - Countries'!B:B,"Not found")</f>
        <v>Middle East &amp; North Africa</v>
      </c>
      <c r="D207">
        <v>95.724735595381205</v>
      </c>
      <c r="E207" s="3" t="str">
        <f t="shared" si="3"/>
        <v>Include</v>
      </c>
    </row>
    <row r="208" spans="1:5" hidden="1">
      <c r="A208" t="s">
        <v>487</v>
      </c>
      <c r="B208" t="s">
        <v>488</v>
      </c>
      <c r="C208" t="str">
        <f>_xlfn.XLOOKUP(B208,'Metadata - Countries'!A:A,'Metadata - Countries'!B:B,"Not found")</f>
        <v>Sub-Saharan Africa</v>
      </c>
      <c r="E208" s="3" t="str">
        <f t="shared" si="3"/>
        <v>Exclude</v>
      </c>
    </row>
    <row r="209" spans="1:5">
      <c r="A209" t="s">
        <v>489</v>
      </c>
      <c r="B209" t="s">
        <v>490</v>
      </c>
      <c r="C209" t="str">
        <f>_xlfn.XLOOKUP(B209,'Metadata - Countries'!A:A,'Metadata - Countries'!B:B,"Not found")</f>
        <v>Sub-Saharan Africa</v>
      </c>
      <c r="D209">
        <v>43.379699709999997</v>
      </c>
      <c r="E209" s="3" t="str">
        <f t="shared" si="3"/>
        <v>Include</v>
      </c>
    </row>
    <row r="210" spans="1:5">
      <c r="A210" t="s">
        <v>491</v>
      </c>
      <c r="B210" t="s">
        <v>492</v>
      </c>
      <c r="C210" t="str">
        <f>_xlfn.XLOOKUP(B210,'Metadata - Countries'!A:A,'Metadata - Countries'!B:B,"Not found")</f>
        <v>East Asia &amp; Pacific</v>
      </c>
      <c r="D210">
        <v>88.949252685076203</v>
      </c>
      <c r="E210" s="3" t="str">
        <f t="shared" si="3"/>
        <v>Include</v>
      </c>
    </row>
    <row r="211" spans="1:5">
      <c r="A211" t="s">
        <v>493</v>
      </c>
      <c r="B211" t="s">
        <v>494</v>
      </c>
      <c r="C211" t="str">
        <f>_xlfn.XLOOKUP(B211,'Metadata - Countries'!A:A,'Metadata - Countries'!B:B,"Not found")</f>
        <v>East Asia &amp; Pacific</v>
      </c>
      <c r="D211">
        <v>22.488800049999998</v>
      </c>
      <c r="E211" s="3" t="str">
        <f t="shared" si="3"/>
        <v>Include</v>
      </c>
    </row>
    <row r="212" spans="1:5">
      <c r="A212" t="s">
        <v>495</v>
      </c>
      <c r="B212" t="s">
        <v>496</v>
      </c>
      <c r="C212" t="str">
        <f>_xlfn.XLOOKUP(B212,'Metadata - Countries'!A:A,'Metadata - Countries'!B:B,"Not found")</f>
        <v>Sub-Saharan Africa</v>
      </c>
      <c r="D212">
        <v>15.71370029</v>
      </c>
      <c r="E212" s="3" t="str">
        <f t="shared" si="3"/>
        <v>Include</v>
      </c>
    </row>
    <row r="213" spans="1:5">
      <c r="A213" t="s">
        <v>497</v>
      </c>
      <c r="B213" t="s">
        <v>498</v>
      </c>
      <c r="C213" t="str">
        <f>_xlfn.XLOOKUP(B213,'Metadata - Countries'!A:A,'Metadata - Countries'!B:B,"Not found")</f>
        <v>Latin America &amp; Caribbean</v>
      </c>
      <c r="D213">
        <v>50.491194067388797</v>
      </c>
      <c r="E213" s="3" t="str">
        <f t="shared" si="3"/>
        <v>Include</v>
      </c>
    </row>
    <row r="214" spans="1:5">
      <c r="A214" t="s">
        <v>499</v>
      </c>
      <c r="B214" t="s">
        <v>500</v>
      </c>
      <c r="C214" t="str">
        <f>_xlfn.XLOOKUP(B214,'Metadata - Countries'!A:A,'Metadata - Countries'!B:B,"Not found")</f>
        <v>Europe &amp; Central Asia</v>
      </c>
      <c r="D214">
        <v>67.850700380000006</v>
      </c>
      <c r="E214" s="3" t="str">
        <f t="shared" si="3"/>
        <v>Include</v>
      </c>
    </row>
    <row r="215" spans="1:5">
      <c r="A215" t="s">
        <v>501</v>
      </c>
      <c r="B215" t="s">
        <v>502</v>
      </c>
      <c r="C215" t="str">
        <f>_xlfn.XLOOKUP(B215,'Metadata - Countries'!A:A,'Metadata - Countries'!B:B,"Not found")</f>
        <v>Sub-Saharan Africa</v>
      </c>
      <c r="D215">
        <v>2.731400013</v>
      </c>
      <c r="E215" s="3" t="str">
        <f t="shared" si="3"/>
        <v>Include</v>
      </c>
    </row>
    <row r="216" spans="1:5">
      <c r="A216" t="s">
        <v>503</v>
      </c>
      <c r="B216" t="s">
        <v>504</v>
      </c>
      <c r="C216" t="str">
        <f>_xlfn.XLOOKUP(B216,'Metadata - Countries'!A:A,'Metadata - Countries'!B:B,"Not found")</f>
        <v>Europe &amp; Central Asia</v>
      </c>
      <c r="D216">
        <v>77.416773621980198</v>
      </c>
      <c r="E216" s="3" t="str">
        <f t="shared" si="3"/>
        <v>Include</v>
      </c>
    </row>
    <row r="217" spans="1:5" hidden="1">
      <c r="A217" t="s">
        <v>505</v>
      </c>
      <c r="B217" t="s">
        <v>506</v>
      </c>
      <c r="C217">
        <f>_xlfn.XLOOKUP(B217,'Metadata - Countries'!A:A,'Metadata - Countries'!B:B,"Not found")</f>
        <v>0</v>
      </c>
      <c r="D217">
        <v>25.3</v>
      </c>
      <c r="E217" s="3" t="str">
        <f t="shared" si="3"/>
        <v>Exclude</v>
      </c>
    </row>
    <row r="218" spans="1:5">
      <c r="A218" t="s">
        <v>507</v>
      </c>
      <c r="B218" t="s">
        <v>508</v>
      </c>
      <c r="C218" t="str">
        <f>_xlfn.XLOOKUP(B218,'Metadata - Countries'!A:A,'Metadata - Countries'!B:B,"Not found")</f>
        <v>Sub-Saharan Africa</v>
      </c>
      <c r="D218">
        <v>6.6710000039999997</v>
      </c>
      <c r="E218" s="3" t="str">
        <f t="shared" si="3"/>
        <v>Include</v>
      </c>
    </row>
    <row r="219" spans="1:5" hidden="1">
      <c r="A219" t="s">
        <v>509</v>
      </c>
      <c r="B219" t="s">
        <v>510</v>
      </c>
      <c r="C219">
        <f>_xlfn.XLOOKUP(B219,'Metadata - Countries'!A:A,'Metadata - Countries'!B:B,"Not found")</f>
        <v>0</v>
      </c>
      <c r="D219">
        <v>24.4</v>
      </c>
      <c r="E219" s="3" t="str">
        <f t="shared" si="3"/>
        <v>Exclude</v>
      </c>
    </row>
    <row r="220" spans="1:5" hidden="1">
      <c r="A220" t="s">
        <v>511</v>
      </c>
      <c r="B220" t="s">
        <v>512</v>
      </c>
      <c r="C220">
        <f>_xlfn.XLOOKUP(B220,'Metadata - Countries'!A:A,'Metadata - Countries'!B:B,"Not found")</f>
        <v>0</v>
      </c>
      <c r="D220">
        <v>62.1</v>
      </c>
      <c r="E220" s="3" t="str">
        <f t="shared" si="3"/>
        <v>Exclude</v>
      </c>
    </row>
    <row r="221" spans="1:5">
      <c r="A221" t="s">
        <v>513</v>
      </c>
      <c r="B221" t="s">
        <v>514</v>
      </c>
      <c r="C221" t="str">
        <f>_xlfn.XLOOKUP(B221,'Metadata - Countries'!A:A,'Metadata - Countries'!B:B,"Not found")</f>
        <v>Sub-Saharan Africa</v>
      </c>
      <c r="D221">
        <v>44.257900239999998</v>
      </c>
      <c r="E221" s="3" t="str">
        <f t="shared" si="3"/>
        <v>Include</v>
      </c>
    </row>
    <row r="222" spans="1:5">
      <c r="A222" t="s">
        <v>515</v>
      </c>
      <c r="B222" t="s">
        <v>516</v>
      </c>
      <c r="C222" t="str">
        <f>_xlfn.XLOOKUP(B222,'Metadata - Countries'!A:A,'Metadata - Countries'!B:B,"Not found")</f>
        <v>Latin America &amp; Caribbean</v>
      </c>
      <c r="D222">
        <v>62.033500670000002</v>
      </c>
      <c r="E222" s="3" t="str">
        <f t="shared" si="3"/>
        <v>Include</v>
      </c>
    </row>
    <row r="223" spans="1:5">
      <c r="A223" t="s">
        <v>517</v>
      </c>
      <c r="B223" t="s">
        <v>518</v>
      </c>
      <c r="C223" t="str">
        <f>_xlfn.XLOOKUP(B223,'Metadata - Countries'!A:A,'Metadata - Countries'!B:B,"Not found")</f>
        <v>Europe &amp; Central Asia</v>
      </c>
      <c r="D223">
        <v>82.8536605021784</v>
      </c>
      <c r="E223" s="3" t="str">
        <f t="shared" si="3"/>
        <v>Include</v>
      </c>
    </row>
    <row r="224" spans="1:5">
      <c r="A224" t="s">
        <v>519</v>
      </c>
      <c r="B224" t="s">
        <v>520</v>
      </c>
      <c r="C224" t="str">
        <f>_xlfn.XLOOKUP(B224,'Metadata - Countries'!A:A,'Metadata - Countries'!B:B,"Not found")</f>
        <v>Europe &amp; Central Asia</v>
      </c>
      <c r="D224">
        <v>83.108357802671705</v>
      </c>
      <c r="E224" s="3" t="str">
        <f t="shared" si="3"/>
        <v>Include</v>
      </c>
    </row>
    <row r="225" spans="1:5">
      <c r="A225" t="s">
        <v>521</v>
      </c>
      <c r="B225" t="s">
        <v>522</v>
      </c>
      <c r="C225" t="str">
        <f>_xlfn.XLOOKUP(B225,'Metadata - Countries'!A:A,'Metadata - Countries'!B:B,"Not found")</f>
        <v>Europe &amp; Central Asia</v>
      </c>
      <c r="D225">
        <v>94.493443407220198</v>
      </c>
      <c r="E225" s="3" t="str">
        <f t="shared" si="3"/>
        <v>Include</v>
      </c>
    </row>
    <row r="226" spans="1:5">
      <c r="A226" t="s">
        <v>523</v>
      </c>
      <c r="B226" t="s">
        <v>524</v>
      </c>
      <c r="C226" t="str">
        <f>_xlfn.XLOOKUP(B226,'Metadata - Countries'!A:A,'Metadata - Countries'!B:B,"Not found")</f>
        <v>Sub-Saharan Africa</v>
      </c>
      <c r="D226">
        <v>43.933898929999998</v>
      </c>
      <c r="E226" s="3" t="str">
        <f t="shared" si="3"/>
        <v>Include</v>
      </c>
    </row>
    <row r="227" spans="1:5" hidden="1">
      <c r="A227" t="s">
        <v>525</v>
      </c>
      <c r="B227" t="s">
        <v>526</v>
      </c>
      <c r="C227" t="str">
        <f>_xlfn.XLOOKUP(B227,'Metadata - Countries'!A:A,'Metadata - Countries'!B:B,"Not found")</f>
        <v>Latin America &amp; Caribbean</v>
      </c>
      <c r="E227" s="3" t="str">
        <f t="shared" si="3"/>
        <v>Exclude</v>
      </c>
    </row>
    <row r="228" spans="1:5">
      <c r="A228" t="s">
        <v>527</v>
      </c>
      <c r="B228" t="s">
        <v>528</v>
      </c>
      <c r="C228" t="str">
        <f>_xlfn.XLOOKUP(B228,'Metadata - Countries'!A:A,'Metadata - Countries'!B:B,"Not found")</f>
        <v>Sub-Saharan Africa</v>
      </c>
      <c r="D228">
        <v>76.634201050000001</v>
      </c>
      <c r="E228" s="3" t="str">
        <f t="shared" si="3"/>
        <v>Include</v>
      </c>
    </row>
    <row r="229" spans="1:5" hidden="1">
      <c r="A229" t="s">
        <v>529</v>
      </c>
      <c r="B229" t="s">
        <v>530</v>
      </c>
      <c r="C229" t="str">
        <f>_xlfn.XLOOKUP(B229,'Metadata - Countries'!A:A,'Metadata - Countries'!B:B,"Not found")</f>
        <v>Middle East &amp; North Africa</v>
      </c>
      <c r="E229" s="3" t="str">
        <f t="shared" si="3"/>
        <v>Exclude</v>
      </c>
    </row>
    <row r="230" spans="1:5" hidden="1">
      <c r="A230" t="s">
        <v>531</v>
      </c>
      <c r="B230" t="s">
        <v>532</v>
      </c>
      <c r="C230" t="str">
        <f>_xlfn.XLOOKUP(B230,'Metadata - Countries'!A:A,'Metadata - Countries'!B:B,"Not found")</f>
        <v>Latin America &amp; Caribbean</v>
      </c>
      <c r="E230" s="3" t="str">
        <f t="shared" si="3"/>
        <v>Exclude</v>
      </c>
    </row>
    <row r="231" spans="1:5">
      <c r="A231" t="s">
        <v>533</v>
      </c>
      <c r="B231" t="s">
        <v>534</v>
      </c>
      <c r="C231" t="str">
        <f>_xlfn.XLOOKUP(B231,'Metadata - Countries'!A:A,'Metadata - Countries'!B:B,"Not found")</f>
        <v>Sub-Saharan Africa</v>
      </c>
      <c r="D231">
        <v>7.6181998249999996</v>
      </c>
      <c r="E231" s="3" t="str">
        <f t="shared" si="3"/>
        <v>Include</v>
      </c>
    </row>
    <row r="232" spans="1:5" hidden="1">
      <c r="A232" t="s">
        <v>535</v>
      </c>
      <c r="B232" t="s">
        <v>536</v>
      </c>
      <c r="C232">
        <f>_xlfn.XLOOKUP(B232,'Metadata - Countries'!A:A,'Metadata - Countries'!B:B,"Not found")</f>
        <v>0</v>
      </c>
      <c r="D232">
        <v>64.3</v>
      </c>
      <c r="E232" s="3" t="str">
        <f t="shared" si="3"/>
        <v>Exclude</v>
      </c>
    </row>
    <row r="233" spans="1:5" hidden="1">
      <c r="A233" t="s">
        <v>537</v>
      </c>
      <c r="B233" t="s">
        <v>538</v>
      </c>
      <c r="C233">
        <f>_xlfn.XLOOKUP(B233,'Metadata - Countries'!A:A,'Metadata - Countries'!B:B,"Not found")</f>
        <v>0</v>
      </c>
      <c r="D233">
        <v>75.2</v>
      </c>
      <c r="E233" s="3" t="str">
        <f t="shared" si="3"/>
        <v>Exclude</v>
      </c>
    </row>
    <row r="234" spans="1:5">
      <c r="A234" t="s">
        <v>539</v>
      </c>
      <c r="B234" t="s">
        <v>540</v>
      </c>
      <c r="C234" t="str">
        <f>_xlfn.XLOOKUP(B234,'Metadata - Countries'!A:A,'Metadata - Countries'!B:B,"Not found")</f>
        <v>Sub-Saharan Africa</v>
      </c>
      <c r="D234">
        <v>20.727300639999999</v>
      </c>
      <c r="E234" s="3" t="str">
        <f t="shared" si="3"/>
        <v>Include</v>
      </c>
    </row>
    <row r="235" spans="1:5">
      <c r="A235" t="s">
        <v>541</v>
      </c>
      <c r="B235" t="s">
        <v>542</v>
      </c>
      <c r="C235" t="str">
        <f>_xlfn.XLOOKUP(B235,'Metadata - Countries'!A:A,'Metadata - Countries'!B:B,"Not found")</f>
        <v>East Asia &amp; Pacific</v>
      </c>
      <c r="D235">
        <v>66.652419458752803</v>
      </c>
      <c r="E235" s="3" t="str">
        <f t="shared" si="3"/>
        <v>Include</v>
      </c>
    </row>
    <row r="236" spans="1:5">
      <c r="A236" t="s">
        <v>543</v>
      </c>
      <c r="B236" t="s">
        <v>544</v>
      </c>
      <c r="C236" t="str">
        <f>_xlfn.XLOOKUP(B236,'Metadata - Countries'!A:A,'Metadata - Countries'!B:B,"Not found")</f>
        <v>Europe &amp; Central Asia</v>
      </c>
      <c r="D236">
        <v>22.686300280000001</v>
      </c>
      <c r="E236" s="3" t="str">
        <f t="shared" si="3"/>
        <v>Include</v>
      </c>
    </row>
    <row r="237" spans="1:5" hidden="1">
      <c r="A237" t="s">
        <v>545</v>
      </c>
      <c r="B237" t="s">
        <v>546</v>
      </c>
      <c r="C237" t="str">
        <f>_xlfn.XLOOKUP(B237,'Metadata - Countries'!A:A,'Metadata - Countries'!B:B,"Not found")</f>
        <v>Europe &amp; Central Asia</v>
      </c>
      <c r="E237" s="3" t="str">
        <f t="shared" si="3"/>
        <v>Exclude</v>
      </c>
    </row>
    <row r="238" spans="1:5" hidden="1">
      <c r="A238" t="s">
        <v>547</v>
      </c>
      <c r="B238" t="s">
        <v>548</v>
      </c>
      <c r="C238">
        <f>_xlfn.XLOOKUP(B238,'Metadata - Countries'!A:A,'Metadata - Countries'!B:B,"Not found")</f>
        <v>0</v>
      </c>
      <c r="D238">
        <v>67.7</v>
      </c>
      <c r="E238" s="3" t="str">
        <f t="shared" si="3"/>
        <v>Exclude</v>
      </c>
    </row>
    <row r="239" spans="1:5">
      <c r="A239" t="s">
        <v>549</v>
      </c>
      <c r="B239" t="s">
        <v>550</v>
      </c>
      <c r="C239" t="str">
        <f>_xlfn.XLOOKUP(B239,'Metadata - Countries'!A:A,'Metadata - Countries'!B:B,"Not found")</f>
        <v>East Asia &amp; Pacific</v>
      </c>
      <c r="D239">
        <v>28.00460052</v>
      </c>
      <c r="E239" s="3" t="str">
        <f t="shared" si="3"/>
        <v>Include</v>
      </c>
    </row>
    <row r="240" spans="1:5" hidden="1">
      <c r="A240" t="s">
        <v>551</v>
      </c>
      <c r="B240" t="s">
        <v>552</v>
      </c>
      <c r="C240">
        <f>_xlfn.XLOOKUP(B240,'Metadata - Countries'!A:A,'Metadata - Countries'!B:B,"Not found")</f>
        <v>0</v>
      </c>
      <c r="D240">
        <v>41.3</v>
      </c>
      <c r="E240" s="3" t="str">
        <f t="shared" si="3"/>
        <v>Exclude</v>
      </c>
    </row>
    <row r="241" spans="1:5">
      <c r="A241" t="s">
        <v>553</v>
      </c>
      <c r="B241" t="s">
        <v>554</v>
      </c>
      <c r="C241" t="str">
        <f>_xlfn.XLOOKUP(B241,'Metadata - Countries'!A:A,'Metadata - Countries'!B:B,"Not found")</f>
        <v>East Asia &amp; Pacific</v>
      </c>
      <c r="D241">
        <v>51.562999730000001</v>
      </c>
      <c r="E241" s="3" t="str">
        <f t="shared" si="3"/>
        <v>Include</v>
      </c>
    </row>
    <row r="242" spans="1:5" hidden="1">
      <c r="A242" t="s">
        <v>555</v>
      </c>
      <c r="B242" t="s">
        <v>556</v>
      </c>
      <c r="C242">
        <f>_xlfn.XLOOKUP(B242,'Metadata - Countries'!A:A,'Metadata - Countries'!B:B,"Not found")</f>
        <v>0</v>
      </c>
      <c r="D242">
        <v>29.7</v>
      </c>
      <c r="E242" s="3" t="str">
        <f t="shared" si="3"/>
        <v>Exclude</v>
      </c>
    </row>
    <row r="243" spans="1:5" hidden="1">
      <c r="A243" t="s">
        <v>557</v>
      </c>
      <c r="B243" t="s">
        <v>558</v>
      </c>
      <c r="C243">
        <f>_xlfn.XLOOKUP(B243,'Metadata - Countries'!A:A,'Metadata - Countries'!B:B,"Not found")</f>
        <v>0</v>
      </c>
      <c r="D243">
        <v>24.4</v>
      </c>
      <c r="E243" s="3" t="str">
        <f t="shared" si="3"/>
        <v>Exclude</v>
      </c>
    </row>
    <row r="244" spans="1:5">
      <c r="A244" t="s">
        <v>559</v>
      </c>
      <c r="B244" t="s">
        <v>560</v>
      </c>
      <c r="C244" t="str">
        <f>_xlfn.XLOOKUP(B244,'Metadata - Countries'!A:A,'Metadata - Countries'!B:B,"Not found")</f>
        <v>Latin America &amp; Caribbean</v>
      </c>
      <c r="D244">
        <v>74.986701969999999</v>
      </c>
      <c r="E244" s="3" t="str">
        <f t="shared" si="3"/>
        <v>Include</v>
      </c>
    </row>
    <row r="245" spans="1:5">
      <c r="A245" t="s">
        <v>561</v>
      </c>
      <c r="B245" t="s">
        <v>562</v>
      </c>
      <c r="C245" t="str">
        <f>_xlfn.XLOOKUP(B245,'Metadata - Countries'!A:A,'Metadata - Countries'!B:B,"Not found")</f>
        <v>Middle East &amp; North Africa</v>
      </c>
      <c r="D245">
        <v>66.6999983024144</v>
      </c>
      <c r="E245" s="3" t="str">
        <f t="shared" si="3"/>
        <v>Include</v>
      </c>
    </row>
    <row r="246" spans="1:5">
      <c r="A246" t="s">
        <v>563</v>
      </c>
      <c r="B246" t="s">
        <v>564</v>
      </c>
      <c r="C246" t="str">
        <f>_xlfn.XLOOKUP(B246,'Metadata - Countries'!A:A,'Metadata - Countries'!B:B,"Not found")</f>
        <v>Europe &amp; Central Asia</v>
      </c>
      <c r="D246">
        <v>73.976702287151099</v>
      </c>
      <c r="E246" s="3" t="str">
        <f t="shared" si="3"/>
        <v>Include</v>
      </c>
    </row>
    <row r="247" spans="1:5" hidden="1">
      <c r="A247" t="s">
        <v>565</v>
      </c>
      <c r="B247" t="s">
        <v>566</v>
      </c>
      <c r="C247" t="str">
        <f>_xlfn.XLOOKUP(B247,'Metadata - Countries'!A:A,'Metadata - Countries'!B:B,"Not found")</f>
        <v>East Asia &amp; Pacific</v>
      </c>
      <c r="E247" s="3" t="str">
        <f t="shared" si="3"/>
        <v>Exclude</v>
      </c>
    </row>
    <row r="248" spans="1:5">
      <c r="A248" t="s">
        <v>567</v>
      </c>
      <c r="B248" t="s">
        <v>568</v>
      </c>
      <c r="C248" t="str">
        <f>_xlfn.XLOOKUP(B248,'Metadata - Countries'!A:A,'Metadata - Countries'!B:B,"Not found")</f>
        <v>Sub-Saharan Africa</v>
      </c>
      <c r="D248">
        <v>16.590900420000001</v>
      </c>
      <c r="E248" s="3" t="str">
        <f t="shared" si="3"/>
        <v>Include</v>
      </c>
    </row>
    <row r="249" spans="1:5">
      <c r="A249" t="s">
        <v>569</v>
      </c>
      <c r="B249" t="s">
        <v>570</v>
      </c>
      <c r="C249" t="str">
        <f>_xlfn.XLOOKUP(B249,'Metadata - Countries'!A:A,'Metadata - Countries'!B:B,"Not found")</f>
        <v>Sub-Saharan Africa</v>
      </c>
      <c r="D249">
        <v>11.72579956</v>
      </c>
      <c r="E249" s="3" t="str">
        <f t="shared" si="3"/>
        <v>Include</v>
      </c>
    </row>
    <row r="250" spans="1:5">
      <c r="A250" t="s">
        <v>571</v>
      </c>
      <c r="B250" t="s">
        <v>572</v>
      </c>
      <c r="C250" t="str">
        <f>_xlfn.XLOOKUP(B250,'Metadata - Countries'!A:A,'Metadata - Countries'!B:B,"Not found")</f>
        <v>Europe &amp; Central Asia</v>
      </c>
      <c r="D250">
        <v>70.124844299526302</v>
      </c>
      <c r="E250" s="3" t="str">
        <f t="shared" si="3"/>
        <v>Include</v>
      </c>
    </row>
    <row r="251" spans="1:5" hidden="1">
      <c r="A251" t="s">
        <v>573</v>
      </c>
      <c r="B251" t="s">
        <v>574</v>
      </c>
      <c r="C251">
        <f>_xlfn.XLOOKUP(B251,'Metadata - Countries'!A:A,'Metadata - Countries'!B:B,"Not found")</f>
        <v>0</v>
      </c>
      <c r="D251">
        <v>67.5</v>
      </c>
      <c r="E251" s="3" t="str">
        <f t="shared" si="3"/>
        <v>Exclude</v>
      </c>
    </row>
    <row r="252" spans="1:5">
      <c r="A252" t="s">
        <v>575</v>
      </c>
      <c r="B252" t="s">
        <v>576</v>
      </c>
      <c r="C252" t="str">
        <f>_xlfn.XLOOKUP(B252,'Metadata - Countries'!A:A,'Metadata - Countries'!B:B,"Not found")</f>
        <v>Latin America &amp; Caribbean</v>
      </c>
      <c r="D252">
        <v>83.351533766754798</v>
      </c>
      <c r="E252" s="3" t="str">
        <f t="shared" si="3"/>
        <v>Include</v>
      </c>
    </row>
    <row r="253" spans="1:5">
      <c r="A253" t="s">
        <v>577</v>
      </c>
      <c r="B253" t="s">
        <v>578</v>
      </c>
      <c r="C253" t="str">
        <f>_xlfn.XLOOKUP(B253,'Metadata - Countries'!A:A,'Metadata - Countries'!B:B,"Not found")</f>
        <v>North America</v>
      </c>
      <c r="D253">
        <v>89.430284857571195</v>
      </c>
      <c r="E253" s="3" t="str">
        <f t="shared" si="3"/>
        <v>Include</v>
      </c>
    </row>
    <row r="254" spans="1:5">
      <c r="A254" t="s">
        <v>579</v>
      </c>
      <c r="B254" t="s">
        <v>580</v>
      </c>
      <c r="C254" t="str">
        <f>_xlfn.XLOOKUP(B254,'Metadata - Countries'!A:A,'Metadata - Countries'!B:B,"Not found")</f>
        <v>Europe &amp; Central Asia</v>
      </c>
      <c r="D254">
        <v>70.399998648145797</v>
      </c>
      <c r="E254" s="3" t="str">
        <f t="shared" si="3"/>
        <v>Include</v>
      </c>
    </row>
    <row r="255" spans="1:5">
      <c r="A255" t="s">
        <v>581</v>
      </c>
      <c r="B255" t="s">
        <v>582</v>
      </c>
      <c r="C255" t="str">
        <f>_xlfn.XLOOKUP(B255,'Metadata - Countries'!A:A,'Metadata - Countries'!B:B,"Not found")</f>
        <v>Latin America &amp; Caribbean</v>
      </c>
      <c r="D255">
        <v>59.576301569999998</v>
      </c>
      <c r="E255" s="3" t="str">
        <f t="shared" si="3"/>
        <v>Include</v>
      </c>
    </row>
    <row r="256" spans="1:5">
      <c r="A256" t="s">
        <v>583</v>
      </c>
      <c r="B256" t="s">
        <v>584</v>
      </c>
      <c r="C256" t="str">
        <f>_xlfn.XLOOKUP(B256,'Metadata - Countries'!A:A,'Metadata - Countries'!B:B,"Not found")</f>
        <v>Latin America &amp; Caribbean</v>
      </c>
      <c r="D256">
        <v>49.050098419999998</v>
      </c>
      <c r="E256" s="3" t="str">
        <f t="shared" si="3"/>
        <v>Include</v>
      </c>
    </row>
    <row r="257" spans="1:5" hidden="1">
      <c r="A257" t="s">
        <v>585</v>
      </c>
      <c r="B257" t="s">
        <v>586</v>
      </c>
      <c r="C257" t="str">
        <f>_xlfn.XLOOKUP(B257,'Metadata - Countries'!A:A,'Metadata - Countries'!B:B,"Not found")</f>
        <v>Latin America &amp; Caribbean</v>
      </c>
      <c r="E257" s="3" t="str">
        <f t="shared" si="3"/>
        <v>Exclude</v>
      </c>
    </row>
    <row r="258" spans="1:5" hidden="1">
      <c r="A258" t="s">
        <v>587</v>
      </c>
      <c r="B258" t="s">
        <v>588</v>
      </c>
      <c r="C258" t="str">
        <f>_xlfn.XLOOKUP(B258,'Metadata - Countries'!A:A,'Metadata - Countries'!B:B,"Not found")</f>
        <v>Latin America &amp; Caribbean</v>
      </c>
      <c r="E258" s="3" t="str">
        <f t="shared" si="3"/>
        <v>Exclude</v>
      </c>
    </row>
    <row r="259" spans="1:5">
      <c r="A259" t="s">
        <v>589</v>
      </c>
      <c r="B259" t="s">
        <v>590</v>
      </c>
      <c r="C259" t="str">
        <f>_xlfn.XLOOKUP(B259,'Metadata - Countries'!A:A,'Metadata - Countries'!B:B,"Not found")</f>
        <v>East Asia &amp; Pacific</v>
      </c>
      <c r="D259">
        <v>68.661580205733799</v>
      </c>
      <c r="E259" s="3" t="str">
        <f t="shared" ref="E259:E267" si="4">IF(AND(C259&lt;&gt;"",C259&lt;&gt;0,D259&lt;&gt;""),"Include","Exclude")</f>
        <v>Include</v>
      </c>
    </row>
    <row r="260" spans="1:5" hidden="1">
      <c r="A260" t="s">
        <v>591</v>
      </c>
      <c r="B260" t="s">
        <v>592</v>
      </c>
      <c r="C260" t="str">
        <f>_xlfn.XLOOKUP(B260,'Metadata - Countries'!A:A,'Metadata - Countries'!B:B,"Not found")</f>
        <v>East Asia &amp; Pacific</v>
      </c>
      <c r="E260" s="3" t="str">
        <f t="shared" si="4"/>
        <v>Exclude</v>
      </c>
    </row>
    <row r="261" spans="1:5" hidden="1">
      <c r="A261" t="s">
        <v>593</v>
      </c>
      <c r="B261" t="s">
        <v>594</v>
      </c>
      <c r="C261">
        <f>_xlfn.XLOOKUP(B261,'Metadata - Countries'!A:A,'Metadata - Countries'!B:B,"Not found")</f>
        <v>0</v>
      </c>
      <c r="D261">
        <v>53.9</v>
      </c>
      <c r="E261" s="3" t="str">
        <f t="shared" si="4"/>
        <v>Exclude</v>
      </c>
    </row>
    <row r="262" spans="1:5" hidden="1">
      <c r="A262" t="s">
        <v>595</v>
      </c>
      <c r="B262" t="s">
        <v>596</v>
      </c>
      <c r="C262" t="str">
        <f>_xlfn.XLOOKUP(B262,'Metadata - Countries'!A:A,'Metadata - Countries'!B:B,"Not found")</f>
        <v>East Asia &amp; Pacific</v>
      </c>
      <c r="E262" s="3" t="str">
        <f t="shared" si="4"/>
        <v>Exclude</v>
      </c>
    </row>
    <row r="263" spans="1:5" hidden="1">
      <c r="A263" t="s">
        <v>597</v>
      </c>
      <c r="B263" t="s">
        <v>598</v>
      </c>
      <c r="C263" t="str">
        <f>_xlfn.XLOOKUP(B263,'Metadata - Countries'!A:A,'Metadata - Countries'!B:B,"Not found")</f>
        <v>Europe &amp; Central Asia</v>
      </c>
      <c r="E263" s="3" t="str">
        <f t="shared" si="4"/>
        <v>Exclude</v>
      </c>
    </row>
    <row r="264" spans="1:5">
      <c r="A264" t="s">
        <v>599</v>
      </c>
      <c r="B264" t="s">
        <v>600</v>
      </c>
      <c r="C264" t="str">
        <f>_xlfn.XLOOKUP(B264,'Metadata - Countries'!A:A,'Metadata - Countries'!B:B,"Not found")</f>
        <v>Middle East &amp; North Africa</v>
      </c>
      <c r="D264">
        <v>17.490999219999999</v>
      </c>
      <c r="E264" s="3" t="str">
        <f t="shared" si="4"/>
        <v>Include</v>
      </c>
    </row>
    <row r="265" spans="1:5">
      <c r="A265" t="s">
        <v>601</v>
      </c>
      <c r="B265" t="s">
        <v>602</v>
      </c>
      <c r="C265" t="str">
        <f>_xlfn.XLOOKUP(B265,'Metadata - Countries'!A:A,'Metadata - Countries'!B:B,"Not found")</f>
        <v>Sub-Saharan Africa</v>
      </c>
      <c r="D265">
        <v>69.69689941</v>
      </c>
      <c r="E265" s="3" t="str">
        <f t="shared" si="4"/>
        <v>Include</v>
      </c>
    </row>
    <row r="266" spans="1:5">
      <c r="A266" t="s">
        <v>603</v>
      </c>
      <c r="B266" t="s">
        <v>604</v>
      </c>
      <c r="C266" t="str">
        <f>_xlfn.XLOOKUP(B266,'Metadata - Countries'!A:A,'Metadata - Countries'!B:B,"Not found")</f>
        <v>Sub-Saharan Africa</v>
      </c>
      <c r="D266">
        <v>14.471899990000001</v>
      </c>
      <c r="E266" s="3" t="str">
        <f t="shared" si="4"/>
        <v>Include</v>
      </c>
    </row>
    <row r="267" spans="1:5">
      <c r="A267" t="s">
        <v>605</v>
      </c>
      <c r="B267" t="s">
        <v>606</v>
      </c>
      <c r="C267" t="str">
        <f>_xlfn.XLOOKUP(B267,'Metadata - Countries'!A:A,'Metadata - Countries'!B:B,"Not found")</f>
        <v>Sub-Saharan Africa</v>
      </c>
      <c r="D267">
        <v>26.588300700000001</v>
      </c>
      <c r="E267" s="3" t="str">
        <f t="shared" si="4"/>
        <v>Include</v>
      </c>
    </row>
  </sheetData>
  <autoFilter ref="A1:E267" xr:uid="{EBF9DE66-1F3A-498C-931D-6BFE53BB21E8}">
    <filterColumn colId="2">
      <filters>
        <filter val="East Asia &amp; Pacific"/>
        <filter val="Europe &amp; Central Asia"/>
        <filter val="Latin America &amp; Caribbean"/>
        <filter val="Middle East &amp; North Africa"/>
        <filter val="North America"/>
        <filter val="South Asia"/>
        <filter val="Sub-Saharan Africa"/>
      </filters>
    </filterColumn>
    <filterColumn colId="4">
      <filters>
        <filter val="Include"/>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E582E-FEAA-4507-9D8C-AF76E968E4A6}">
  <dimension ref="A1:G190"/>
  <sheetViews>
    <sheetView tabSelected="1" workbookViewId="0">
      <selection activeCell="H10" sqref="H10"/>
    </sheetView>
  </sheetViews>
  <sheetFormatPr defaultRowHeight="15"/>
  <cols>
    <col min="1" max="1" width="20.140625" bestFit="1" customWidth="1"/>
    <col min="2" max="2" width="6.140625" customWidth="1"/>
    <col min="3" max="3" width="28.7109375" customWidth="1"/>
    <col min="4" max="4" width="15.42578125" customWidth="1"/>
  </cols>
  <sheetData>
    <row r="1" spans="1:6" ht="23.25">
      <c r="A1" t="s">
        <v>3</v>
      </c>
      <c r="B1" t="s">
        <v>4</v>
      </c>
      <c r="C1" t="s">
        <v>607</v>
      </c>
      <c r="D1" t="s">
        <v>742</v>
      </c>
      <c r="F1" s="29" t="s">
        <v>744</v>
      </c>
    </row>
    <row r="2" spans="1:6">
      <c r="A2" t="s">
        <v>79</v>
      </c>
      <c r="B2" t="s">
        <v>80</v>
      </c>
      <c r="C2" t="str">
        <f>_xlfn.XLOOKUP(B2,'Metadata - Countries'!A:A,'Metadata - Countries'!B:B,"Not found")</f>
        <v>Middle East &amp; North Africa</v>
      </c>
      <c r="D2">
        <v>17.600000380000001</v>
      </c>
      <c r="F2" s="16" t="s">
        <v>745</v>
      </c>
    </row>
    <row r="3" spans="1:6">
      <c r="A3" t="s">
        <v>83</v>
      </c>
      <c r="B3" t="s">
        <v>84</v>
      </c>
      <c r="C3" t="str">
        <f>_xlfn.XLOOKUP(B3,'Metadata - Countries'!A:A,'Metadata - Countries'!B:B,"Not found")</f>
        <v>Sub-Saharan Africa</v>
      </c>
      <c r="D3">
        <v>32.129398350000002</v>
      </c>
      <c r="F3" s="16" t="s">
        <v>746</v>
      </c>
    </row>
    <row r="4" spans="1:6">
      <c r="A4" t="s">
        <v>85</v>
      </c>
      <c r="B4" t="s">
        <v>86</v>
      </c>
      <c r="C4" t="str">
        <f>_xlfn.XLOOKUP(B4,'Metadata - Countries'!A:A,'Metadata - Countries'!B:B,"Not found")</f>
        <v>Europe &amp; Central Asia</v>
      </c>
      <c r="D4">
        <v>68.550391121800601</v>
      </c>
      <c r="F4" s="16" t="s">
        <v>747</v>
      </c>
    </row>
    <row r="5" spans="1:6">
      <c r="A5" t="s">
        <v>87</v>
      </c>
      <c r="B5" t="s">
        <v>88</v>
      </c>
      <c r="C5" t="str">
        <f>_xlfn.XLOOKUP(B5,'Metadata - Countries'!A:A,'Metadata - Countries'!B:B,"Not found")</f>
        <v>Europe &amp; Central Asia</v>
      </c>
      <c r="D5">
        <v>90.718696589999993</v>
      </c>
      <c r="F5" t="s">
        <v>76</v>
      </c>
    </row>
    <row r="6" spans="1:6">
      <c r="A6" t="s">
        <v>91</v>
      </c>
      <c r="B6" t="s">
        <v>92</v>
      </c>
      <c r="C6" t="str">
        <f>_xlfn.XLOOKUP(B6,'Metadata - Countries'!A:A,'Metadata - Countries'!B:B,"Not found")</f>
        <v>Middle East &amp; North Africa</v>
      </c>
      <c r="D6">
        <v>99.149997956124295</v>
      </c>
    </row>
    <row r="7" spans="1:6">
      <c r="A7" t="s">
        <v>93</v>
      </c>
      <c r="B7" t="s">
        <v>94</v>
      </c>
      <c r="C7" t="str">
        <f>_xlfn.XLOOKUP(B7,'Metadata - Countries'!A:A,'Metadata - Countries'!B:B,"Not found")</f>
        <v>Latin America &amp; Caribbean</v>
      </c>
      <c r="D7">
        <v>79.9469520347551</v>
      </c>
      <c r="F7" s="16" t="s">
        <v>748</v>
      </c>
    </row>
    <row r="8" spans="1:6">
      <c r="A8" t="s">
        <v>95</v>
      </c>
      <c r="B8" t="s">
        <v>96</v>
      </c>
      <c r="C8" t="str">
        <f>_xlfn.XLOOKUP(B8,'Metadata - Countries'!A:A,'Metadata - Countries'!B:B,"Not found")</f>
        <v>Europe &amp; Central Asia</v>
      </c>
      <c r="D8">
        <v>66.543949686615903</v>
      </c>
      <c r="F8" s="16" t="s">
        <v>749</v>
      </c>
    </row>
    <row r="9" spans="1:6" ht="18">
      <c r="A9" t="s">
        <v>99</v>
      </c>
      <c r="B9" t="s">
        <v>100</v>
      </c>
      <c r="C9" t="str">
        <f>_xlfn.XLOOKUP(B9,'Metadata - Countries'!A:A,'Metadata - Countries'!B:B,"Not found")</f>
        <v>Latin America &amp; Caribbean</v>
      </c>
      <c r="D9">
        <v>71.092597960000006</v>
      </c>
      <c r="F9" s="30" t="s">
        <v>750</v>
      </c>
    </row>
    <row r="10" spans="1:6">
      <c r="A10" t="s">
        <v>101</v>
      </c>
      <c r="B10" t="s">
        <v>102</v>
      </c>
      <c r="C10" t="str">
        <f>_xlfn.XLOOKUP(B10,'Metadata - Countries'!A:A,'Metadata - Countries'!B:B,"Not found")</f>
        <v>East Asia &amp; Pacific</v>
      </c>
      <c r="D10">
        <v>93.609901429999994</v>
      </c>
      <c r="F10" t="s">
        <v>3</v>
      </c>
    </row>
    <row r="11" spans="1:6">
      <c r="A11" t="s">
        <v>103</v>
      </c>
      <c r="B11" t="s">
        <v>104</v>
      </c>
      <c r="C11" t="str">
        <f>_xlfn.XLOOKUP(B11,'Metadata - Countries'!A:A,'Metadata - Countries'!B:B,"Not found")</f>
        <v>Europe &amp; Central Asia</v>
      </c>
      <c r="D11">
        <v>87.752204787006903</v>
      </c>
      <c r="F11" t="s">
        <v>751</v>
      </c>
    </row>
    <row r="12" spans="1:6">
      <c r="A12" t="s">
        <v>105</v>
      </c>
      <c r="B12" t="s">
        <v>106</v>
      </c>
      <c r="C12" t="str">
        <f>_xlfn.XLOOKUP(B12,'Metadata - Countries'!A:A,'Metadata - Countries'!B:B,"Not found")</f>
        <v>Europe &amp; Central Asia</v>
      </c>
      <c r="D12">
        <v>81.099999065154705</v>
      </c>
      <c r="F12" t="s">
        <v>4</v>
      </c>
    </row>
    <row r="13" spans="1:6">
      <c r="A13" t="s">
        <v>107</v>
      </c>
      <c r="B13" t="s">
        <v>108</v>
      </c>
      <c r="C13" t="str">
        <f>_xlfn.XLOOKUP(B13,'Metadata - Countries'!A:A,'Metadata - Countries'!B:B,"Not found")</f>
        <v>Sub-Saharan Africa</v>
      </c>
      <c r="D13">
        <v>6.0721998209999999</v>
      </c>
      <c r="F13" t="s">
        <v>752</v>
      </c>
    </row>
    <row r="14" spans="1:6">
      <c r="A14" t="s">
        <v>109</v>
      </c>
      <c r="B14" t="s">
        <v>110</v>
      </c>
      <c r="C14" t="str">
        <f>_xlfn.XLOOKUP(B14,'Metadata - Countries'!A:A,'Metadata - Countries'!B:B,"Not found")</f>
        <v>Europe &amp; Central Asia</v>
      </c>
      <c r="D14">
        <v>90.275428012141006</v>
      </c>
      <c r="F14" t="s">
        <v>607</v>
      </c>
    </row>
    <row r="15" spans="1:6">
      <c r="A15" t="s">
        <v>111</v>
      </c>
      <c r="B15" t="s">
        <v>112</v>
      </c>
      <c r="C15" t="str">
        <f>_xlfn.XLOOKUP(B15,'Metadata - Countries'!A:A,'Metadata - Countries'!B:B,"Not found")</f>
        <v>Sub-Saharan Africa</v>
      </c>
      <c r="D15">
        <v>20.500999449999998</v>
      </c>
      <c r="F15" t="s">
        <v>753</v>
      </c>
    </row>
    <row r="16" spans="1:6">
      <c r="A16" t="s">
        <v>113</v>
      </c>
      <c r="B16" t="s">
        <v>114</v>
      </c>
      <c r="C16" t="str">
        <f>_xlfn.XLOOKUP(B16,'Metadata - Countries'!A:A,'Metadata - Countries'!B:B,"Not found")</f>
        <v>Sub-Saharan Africa</v>
      </c>
      <c r="D16">
        <v>9.2718060095318595</v>
      </c>
      <c r="F16" t="s">
        <v>742</v>
      </c>
    </row>
    <row r="17" spans="1:7">
      <c r="A17" t="s">
        <v>115</v>
      </c>
      <c r="B17" t="s">
        <v>116</v>
      </c>
      <c r="C17" t="str">
        <f>_xlfn.XLOOKUP(B17,'Metadata - Countries'!A:A,'Metadata - Countries'!B:B,"Not found")</f>
        <v>South Asia</v>
      </c>
      <c r="D17">
        <v>30.383100509999998</v>
      </c>
      <c r="F17" t="s">
        <v>754</v>
      </c>
    </row>
    <row r="18" spans="1:7" ht="18">
      <c r="A18" t="s">
        <v>117</v>
      </c>
      <c r="B18" t="s">
        <v>118</v>
      </c>
      <c r="C18" t="str">
        <f>_xlfn.XLOOKUP(B18,'Metadata - Countries'!A:A,'Metadata - Countries'!B:B,"Not found")</f>
        <v>Europe &amp; Central Asia</v>
      </c>
      <c r="D18">
        <v>67.946980941760302</v>
      </c>
      <c r="F18" s="30" t="s">
        <v>755</v>
      </c>
    </row>
    <row r="19" spans="1:7">
      <c r="A19" t="s">
        <v>119</v>
      </c>
      <c r="B19" t="s">
        <v>120</v>
      </c>
      <c r="C19" t="str">
        <f>_xlfn.XLOOKUP(B19,'Metadata - Countries'!A:A,'Metadata - Countries'!B:B,"Not found")</f>
        <v>Middle East &amp; North Africa</v>
      </c>
      <c r="D19">
        <v>99.701504380777806</v>
      </c>
      <c r="F19">
        <v>1</v>
      </c>
      <c r="G19" t="s">
        <v>756</v>
      </c>
    </row>
    <row r="20" spans="1:7">
      <c r="A20" t="s">
        <v>121</v>
      </c>
      <c r="B20" t="s">
        <v>122</v>
      </c>
      <c r="C20" t="str">
        <f>_xlfn.XLOOKUP(B20,'Metadata - Countries'!A:A,'Metadata - Countries'!B:B,"Not found")</f>
        <v>Latin America &amp; Caribbean</v>
      </c>
      <c r="D20">
        <v>90.693298339999998</v>
      </c>
      <c r="F20">
        <v>2</v>
      </c>
      <c r="G20" t="s">
        <v>757</v>
      </c>
    </row>
    <row r="21" spans="1:7">
      <c r="A21" t="s">
        <v>123</v>
      </c>
      <c r="B21" t="s">
        <v>124</v>
      </c>
      <c r="C21" t="str">
        <f>_xlfn.XLOOKUP(B21,'Metadata - Countries'!A:A,'Metadata - Countries'!B:B,"Not found")</f>
        <v>Europe &amp; Central Asia</v>
      </c>
      <c r="D21">
        <v>69.946347631726596</v>
      </c>
      <c r="F21">
        <v>3</v>
      </c>
      <c r="G21" t="s">
        <v>758</v>
      </c>
    </row>
    <row r="22" spans="1:7">
      <c r="A22" t="s">
        <v>125</v>
      </c>
      <c r="B22" t="s">
        <v>126</v>
      </c>
      <c r="C22" t="str">
        <f>_xlfn.XLOOKUP(B22,'Metadata - Countries'!A:A,'Metadata - Countries'!B:B,"Not found")</f>
        <v>Europe &amp; Central Asia</v>
      </c>
      <c r="D22">
        <v>82.789152091090102</v>
      </c>
      <c r="F22">
        <v>4</v>
      </c>
      <c r="G22" t="s">
        <v>759</v>
      </c>
    </row>
    <row r="23" spans="1:7">
      <c r="A23" t="s">
        <v>127</v>
      </c>
      <c r="B23" t="s">
        <v>128</v>
      </c>
      <c r="C23" t="str">
        <f>_xlfn.XLOOKUP(B23,'Metadata - Countries'!A:A,'Metadata - Countries'!B:B,"Not found")</f>
        <v>Latin America &amp; Caribbean</v>
      </c>
      <c r="D23">
        <v>58.765201570000002</v>
      </c>
      <c r="F23">
        <v>5</v>
      </c>
      <c r="G23" t="s">
        <v>760</v>
      </c>
    </row>
    <row r="24" spans="1:7" ht="18">
      <c r="A24" t="s">
        <v>131</v>
      </c>
      <c r="B24" t="s">
        <v>132</v>
      </c>
      <c r="C24" t="str">
        <f>_xlfn.XLOOKUP(B24,'Metadata - Countries'!A:A,'Metadata - Countries'!B:B,"Not found")</f>
        <v>Latin America &amp; Caribbean</v>
      </c>
      <c r="D24">
        <v>47.4748191121692</v>
      </c>
      <c r="F24" s="30" t="s">
        <v>761</v>
      </c>
    </row>
    <row r="25" spans="1:7">
      <c r="A25" t="s">
        <v>133</v>
      </c>
      <c r="B25" t="s">
        <v>134</v>
      </c>
      <c r="C25" t="str">
        <f>_xlfn.XLOOKUP(B25,'Metadata - Countries'!A:A,'Metadata - Countries'!B:B,"Not found")</f>
        <v>Latin America &amp; Caribbean</v>
      </c>
      <c r="D25">
        <v>73.912439913358895</v>
      </c>
      <c r="F25" t="s">
        <v>762</v>
      </c>
    </row>
    <row r="26" spans="1:7" ht="18">
      <c r="A26" t="s">
        <v>135</v>
      </c>
      <c r="B26" t="s">
        <v>136</v>
      </c>
      <c r="C26" t="str">
        <f>_xlfn.XLOOKUP(B26,'Metadata - Countries'!A:A,'Metadata - Countries'!B:B,"Not found")</f>
        <v>Latin America &amp; Caribbean</v>
      </c>
      <c r="D26">
        <v>70.307098389999993</v>
      </c>
      <c r="F26" s="30" t="s">
        <v>763</v>
      </c>
    </row>
    <row r="27" spans="1:7">
      <c r="A27" t="s">
        <v>137</v>
      </c>
      <c r="B27" t="s">
        <v>138</v>
      </c>
      <c r="C27" t="str">
        <f>_xlfn.XLOOKUP(B27,'Metadata - Countries'!A:A,'Metadata - Countries'!B:B,"Not found")</f>
        <v>East Asia &amp; Pacific</v>
      </c>
      <c r="D27">
        <v>95</v>
      </c>
      <c r="F27" t="s">
        <v>764</v>
      </c>
    </row>
    <row r="28" spans="1:7" ht="18">
      <c r="A28" t="s">
        <v>139</v>
      </c>
      <c r="B28" t="s">
        <v>140</v>
      </c>
      <c r="C28" t="str">
        <f>_xlfn.XLOOKUP(B28,'Metadata - Countries'!A:A,'Metadata - Countries'!B:B,"Not found")</f>
        <v>South Asia</v>
      </c>
      <c r="D28">
        <v>74.17939758</v>
      </c>
      <c r="F28" s="30" t="s">
        <v>765</v>
      </c>
    </row>
    <row r="29" spans="1:7">
      <c r="A29" t="s">
        <v>141</v>
      </c>
      <c r="B29" t="s">
        <v>142</v>
      </c>
      <c r="C29" t="str">
        <f>_xlfn.XLOOKUP(B29,'Metadata - Countries'!A:A,'Metadata - Countries'!B:B,"Not found")</f>
        <v>Sub-Saharan Africa</v>
      </c>
      <c r="D29">
        <v>48.822799680000003</v>
      </c>
      <c r="F29" t="s">
        <v>766</v>
      </c>
    </row>
    <row r="30" spans="1:7" ht="18">
      <c r="A30" t="s">
        <v>143</v>
      </c>
      <c r="B30" t="s">
        <v>144</v>
      </c>
      <c r="C30" t="str">
        <f>_xlfn.XLOOKUP(B30,'Metadata - Countries'!A:A,'Metadata - Countries'!B:B,"Not found")</f>
        <v>Sub-Saharan Africa</v>
      </c>
      <c r="D30">
        <v>7.5092000959999998</v>
      </c>
      <c r="F30" s="30"/>
    </row>
    <row r="31" spans="1:7">
      <c r="A31" t="s">
        <v>145</v>
      </c>
      <c r="B31" t="s">
        <v>146</v>
      </c>
      <c r="C31" t="str">
        <f>_xlfn.XLOOKUP(B31,'Metadata - Countries'!A:A,'Metadata - Countries'!B:B,"Not found")</f>
        <v>North America</v>
      </c>
      <c r="D31">
        <v>91.912902829999993</v>
      </c>
    </row>
    <row r="32" spans="1:7">
      <c r="A32" t="s">
        <v>149</v>
      </c>
      <c r="B32" t="s">
        <v>150</v>
      </c>
      <c r="C32" t="str">
        <f>_xlfn.XLOOKUP(B32,'Metadata - Countries'!A:A,'Metadata - Countries'!B:B,"Not found")</f>
        <v>Europe &amp; Central Asia</v>
      </c>
      <c r="D32">
        <v>93.146086953517695</v>
      </c>
    </row>
    <row r="33" spans="1:6">
      <c r="A33" t="s">
        <v>153</v>
      </c>
      <c r="B33" t="s">
        <v>154</v>
      </c>
      <c r="C33" t="str">
        <f>_xlfn.XLOOKUP(B33,'Metadata - Countries'!A:A,'Metadata - Countries'!B:B,"Not found")</f>
        <v>Latin America &amp; Caribbean</v>
      </c>
      <c r="D33">
        <v>85.017601010000007</v>
      </c>
    </row>
    <row r="34" spans="1:6">
      <c r="A34" t="s">
        <v>155</v>
      </c>
      <c r="B34" t="s">
        <v>156</v>
      </c>
      <c r="C34" t="str">
        <f>_xlfn.XLOOKUP(B34,'Metadata - Countries'!A:A,'Metadata - Countries'!B:B,"Not found")</f>
        <v>East Asia &amp; Pacific</v>
      </c>
      <c r="D34">
        <v>64.080881297515006</v>
      </c>
    </row>
    <row r="35" spans="1:6">
      <c r="A35" t="s">
        <v>157</v>
      </c>
      <c r="B35" t="s">
        <v>158</v>
      </c>
      <c r="C35" t="str">
        <f>_xlfn.XLOOKUP(B35,'Metadata - Countries'!A:A,'Metadata - Countries'!B:B,"Not found")</f>
        <v>Sub-Saharan Africa</v>
      </c>
      <c r="D35">
        <v>36.288954565520498</v>
      </c>
    </row>
    <row r="36" spans="1:6" ht="18">
      <c r="A36" t="s">
        <v>159</v>
      </c>
      <c r="B36" t="s">
        <v>160</v>
      </c>
      <c r="C36" t="str">
        <f>_xlfn.XLOOKUP(B36,'Metadata - Countries'!A:A,'Metadata - Countries'!B:B,"Not found")</f>
        <v>Sub-Saharan Africa</v>
      </c>
      <c r="D36">
        <v>36.539199830000001</v>
      </c>
      <c r="F36" s="30"/>
    </row>
    <row r="37" spans="1:6">
      <c r="A37" t="s">
        <v>161</v>
      </c>
      <c r="B37" t="s">
        <v>162</v>
      </c>
      <c r="C37" t="str">
        <f>_xlfn.XLOOKUP(B37,'Metadata - Countries'!A:A,'Metadata - Countries'!B:B,"Not found")</f>
        <v>Sub-Saharan Africa</v>
      </c>
      <c r="D37">
        <v>13.02970028</v>
      </c>
    </row>
    <row r="38" spans="1:6" ht="18">
      <c r="A38" t="s">
        <v>163</v>
      </c>
      <c r="B38" t="s">
        <v>164</v>
      </c>
      <c r="C38" t="str">
        <f>_xlfn.XLOOKUP(B38,'Metadata - Countries'!A:A,'Metadata - Countries'!B:B,"Not found")</f>
        <v>Sub-Saharan Africa</v>
      </c>
      <c r="D38">
        <v>16.116399770000001</v>
      </c>
      <c r="F38" s="30"/>
    </row>
    <row r="39" spans="1:6">
      <c r="A39" t="s">
        <v>165</v>
      </c>
      <c r="B39" t="s">
        <v>166</v>
      </c>
      <c r="C39" t="str">
        <f>_xlfn.XLOOKUP(B39,'Metadata - Countries'!A:A,'Metadata - Countries'!B:B,"Not found")</f>
        <v>Latin America &amp; Caribbean</v>
      </c>
      <c r="D39">
        <v>65.0069007159493</v>
      </c>
    </row>
    <row r="40" spans="1:6" ht="18">
      <c r="A40" t="s">
        <v>167</v>
      </c>
      <c r="B40" t="s">
        <v>168</v>
      </c>
      <c r="C40" t="str">
        <f>_xlfn.XLOOKUP(B40,'Metadata - Countries'!A:A,'Metadata - Countries'!B:B,"Not found")</f>
        <v>Sub-Saharan Africa</v>
      </c>
      <c r="D40">
        <v>16.38380051</v>
      </c>
      <c r="F40" s="30"/>
    </row>
    <row r="41" spans="1:6">
      <c r="A41" t="s">
        <v>169</v>
      </c>
      <c r="B41" t="s">
        <v>170</v>
      </c>
      <c r="C41" t="str">
        <f>_xlfn.XLOOKUP(B41,'Metadata - Countries'!A:A,'Metadata - Countries'!B:B,"Not found")</f>
        <v>Sub-Saharan Africa</v>
      </c>
      <c r="D41">
        <v>61.943397759308802</v>
      </c>
    </row>
    <row r="42" spans="1:6">
      <c r="A42" t="s">
        <v>171</v>
      </c>
      <c r="B42" t="s">
        <v>172</v>
      </c>
      <c r="C42" t="str">
        <f>_xlfn.XLOOKUP(B42,'Metadata - Countries'!A:A,'Metadata - Countries'!B:B,"Not found")</f>
        <v>Latin America &amp; Caribbean</v>
      </c>
      <c r="D42">
        <v>81.2025964435269</v>
      </c>
    </row>
    <row r="43" spans="1:6">
      <c r="A43" t="s">
        <v>175</v>
      </c>
      <c r="B43" t="s">
        <v>176</v>
      </c>
      <c r="C43" t="str">
        <f>_xlfn.XLOOKUP(B43,'Metadata - Countries'!A:A,'Metadata - Countries'!B:B,"Not found")</f>
        <v>Latin America &amp; Caribbean</v>
      </c>
      <c r="D43">
        <v>67.970808656515203</v>
      </c>
    </row>
    <row r="44" spans="1:6">
      <c r="A44" t="s">
        <v>181</v>
      </c>
      <c r="B44" t="s">
        <v>182</v>
      </c>
      <c r="C44" t="str">
        <f>_xlfn.XLOOKUP(B44,'Metadata - Countries'!A:A,'Metadata - Countries'!B:B,"Not found")</f>
        <v>Europe &amp; Central Asia</v>
      </c>
      <c r="D44">
        <v>86.063629961893497</v>
      </c>
    </row>
    <row r="45" spans="1:6">
      <c r="A45" t="s">
        <v>183</v>
      </c>
      <c r="B45" t="s">
        <v>184</v>
      </c>
      <c r="C45" t="str">
        <f>_xlfn.XLOOKUP(B45,'Metadata - Countries'!A:A,'Metadata - Countries'!B:B,"Not found")</f>
        <v>Europe &amp; Central Asia</v>
      </c>
      <c r="D45">
        <v>80.866944413962202</v>
      </c>
    </row>
    <row r="46" spans="1:6">
      <c r="A46" t="s">
        <v>185</v>
      </c>
      <c r="B46" t="s">
        <v>186</v>
      </c>
      <c r="C46" t="str">
        <f>_xlfn.XLOOKUP(B46,'Metadata - Countries'!A:A,'Metadata - Countries'!B:B,"Not found")</f>
        <v>Europe &amp; Central Asia</v>
      </c>
      <c r="D46">
        <v>88.134516909191603</v>
      </c>
    </row>
    <row r="47" spans="1:6">
      <c r="A47" t="s">
        <v>187</v>
      </c>
      <c r="B47" t="s">
        <v>188</v>
      </c>
      <c r="C47" t="str">
        <f>_xlfn.XLOOKUP(B47,'Metadata - Countries'!A:A,'Metadata - Countries'!B:B,"Not found")</f>
        <v>Middle East &amp; North Africa</v>
      </c>
      <c r="D47">
        <v>58.4762001</v>
      </c>
    </row>
    <row r="48" spans="1:6">
      <c r="A48" t="s">
        <v>189</v>
      </c>
      <c r="B48" t="s">
        <v>190</v>
      </c>
      <c r="C48" t="str">
        <f>_xlfn.XLOOKUP(B48,'Metadata - Countries'!A:A,'Metadata - Countries'!B:B,"Not found")</f>
        <v>Latin America &amp; Caribbean</v>
      </c>
      <c r="D48">
        <v>73.382003780000005</v>
      </c>
    </row>
    <row r="49" spans="1:4">
      <c r="A49" t="s">
        <v>191</v>
      </c>
      <c r="B49" t="s">
        <v>192</v>
      </c>
      <c r="C49" t="str">
        <f>_xlfn.XLOOKUP(B49,'Metadata - Countries'!A:A,'Metadata - Countries'!B:B,"Not found")</f>
        <v>Europe &amp; Central Asia</v>
      </c>
      <c r="D49">
        <v>98.046434752154894</v>
      </c>
    </row>
    <row r="50" spans="1:4">
      <c r="A50" t="s">
        <v>193</v>
      </c>
      <c r="B50" t="s">
        <v>194</v>
      </c>
      <c r="C50" t="str">
        <f>_xlfn.XLOOKUP(B50,'Metadata - Countries'!A:A,'Metadata - Countries'!B:B,"Not found")</f>
        <v>Latin America &amp; Caribbean</v>
      </c>
      <c r="D50">
        <v>79.715499879999996</v>
      </c>
    </row>
    <row r="51" spans="1:4">
      <c r="A51" t="s">
        <v>195</v>
      </c>
      <c r="B51" t="s">
        <v>196</v>
      </c>
      <c r="C51" t="str">
        <f>_xlfn.XLOOKUP(B51,'Metadata - Countries'!A:A,'Metadata - Countries'!B:B,"Not found")</f>
        <v>Middle East &amp; North Africa</v>
      </c>
      <c r="D51">
        <v>55.790699009999997</v>
      </c>
    </row>
    <row r="52" spans="1:4">
      <c r="A52" t="s">
        <v>207</v>
      </c>
      <c r="B52" t="s">
        <v>208</v>
      </c>
      <c r="C52" t="str">
        <f>_xlfn.XLOOKUP(B52,'Metadata - Countries'!A:A,'Metadata - Countries'!B:B,"Not found")</f>
        <v>Latin America &amp; Caribbean</v>
      </c>
      <c r="D52">
        <v>59.2</v>
      </c>
    </row>
    <row r="53" spans="1:4">
      <c r="A53" t="s">
        <v>209</v>
      </c>
      <c r="B53" t="s">
        <v>210</v>
      </c>
      <c r="C53" t="str">
        <f>_xlfn.XLOOKUP(B53,'Metadata - Countries'!A:A,'Metadata - Countries'!B:B,"Not found")</f>
        <v>Middle East &amp; North Africa</v>
      </c>
      <c r="D53">
        <v>57.282866399019497</v>
      </c>
    </row>
    <row r="54" spans="1:4">
      <c r="A54" t="s">
        <v>213</v>
      </c>
      <c r="B54" t="s">
        <v>214</v>
      </c>
      <c r="C54" t="str">
        <f>_xlfn.XLOOKUP(B54,'Metadata - Countries'!A:A,'Metadata - Countries'!B:B,"Not found")</f>
        <v>Sub-Saharan Africa</v>
      </c>
      <c r="D54">
        <v>11.22379971</v>
      </c>
    </row>
    <row r="55" spans="1:4">
      <c r="A55" t="s">
        <v>215</v>
      </c>
      <c r="B55" t="s">
        <v>216</v>
      </c>
      <c r="C55" t="str">
        <f>_xlfn.XLOOKUP(B55,'Metadata - Countries'!A:A,'Metadata - Countries'!B:B,"Not found")</f>
        <v>Europe &amp; Central Asia</v>
      </c>
      <c r="D55">
        <v>90.718665325266997</v>
      </c>
    </row>
    <row r="56" spans="1:4">
      <c r="A56" t="s">
        <v>217</v>
      </c>
      <c r="B56" t="s">
        <v>218</v>
      </c>
      <c r="C56" t="str">
        <f>_xlfn.XLOOKUP(B56,'Metadata - Countries'!A:A,'Metadata - Countries'!B:B,"Not found")</f>
        <v>Europe &amp; Central Asia</v>
      </c>
      <c r="D56">
        <v>90.228928199791895</v>
      </c>
    </row>
    <row r="57" spans="1:4">
      <c r="A57" t="s">
        <v>219</v>
      </c>
      <c r="B57" t="s">
        <v>220</v>
      </c>
      <c r="C57" t="str">
        <f>_xlfn.XLOOKUP(B57,'Metadata - Countries'!A:A,'Metadata - Countries'!B:B,"Not found")</f>
        <v>Sub-Saharan Africa</v>
      </c>
      <c r="D57">
        <v>15.984600070000001</v>
      </c>
    </row>
    <row r="58" spans="1:4">
      <c r="A58" t="s">
        <v>225</v>
      </c>
      <c r="B58" t="s">
        <v>226</v>
      </c>
      <c r="C58" t="str">
        <f>_xlfn.XLOOKUP(B58,'Metadata - Countries'!A:A,'Metadata - Countries'!B:B,"Not found")</f>
        <v>Europe &amp; Central Asia</v>
      </c>
      <c r="D58">
        <v>89.607385112977894</v>
      </c>
    </row>
    <row r="59" spans="1:4">
      <c r="A59" t="s">
        <v>227</v>
      </c>
      <c r="B59" t="s">
        <v>228</v>
      </c>
      <c r="C59" t="str">
        <f>_xlfn.XLOOKUP(B59,'Metadata - Countries'!A:A,'Metadata - Countries'!B:B,"Not found")</f>
        <v>East Asia &amp; Pacific</v>
      </c>
      <c r="D59">
        <v>63.217899320000001</v>
      </c>
    </row>
    <row r="60" spans="1:4">
      <c r="A60" t="s">
        <v>229</v>
      </c>
      <c r="B60" t="s">
        <v>230</v>
      </c>
      <c r="C60" t="str">
        <f>_xlfn.XLOOKUP(B60,'Metadata - Countries'!A:A,'Metadata - Countries'!B:B,"Not found")</f>
        <v>Europe &amp; Central Asia</v>
      </c>
      <c r="D60">
        <v>83.339744086688299</v>
      </c>
    </row>
    <row r="61" spans="1:4">
      <c r="A61" t="s">
        <v>233</v>
      </c>
      <c r="B61" t="s">
        <v>234</v>
      </c>
      <c r="C61" t="str">
        <f>_xlfn.XLOOKUP(B61,'Metadata - Countries'!A:A,'Metadata - Countries'!B:B,"Not found")</f>
        <v>East Asia &amp; Pacific</v>
      </c>
      <c r="D61">
        <v>37.973701480000003</v>
      </c>
    </row>
    <row r="62" spans="1:4">
      <c r="A62" t="s">
        <v>235</v>
      </c>
      <c r="B62" t="s">
        <v>236</v>
      </c>
      <c r="C62" t="str">
        <f>_xlfn.XLOOKUP(B62,'Metadata - Countries'!A:A,'Metadata - Countries'!B:B,"Not found")</f>
        <v>Sub-Saharan Africa</v>
      </c>
      <c r="D62">
        <v>59.51760101</v>
      </c>
    </row>
    <row r="63" spans="1:4">
      <c r="A63" t="s">
        <v>237</v>
      </c>
      <c r="B63" t="s">
        <v>238</v>
      </c>
      <c r="C63" t="str">
        <f>_xlfn.XLOOKUP(B63,'Metadata - Countries'!A:A,'Metadata - Countries'!B:B,"Not found")</f>
        <v>Europe &amp; Central Asia</v>
      </c>
      <c r="D63">
        <v>92.516628549713801</v>
      </c>
    </row>
    <row r="64" spans="1:4">
      <c r="A64" t="s">
        <v>239</v>
      </c>
      <c r="B64" t="s">
        <v>240</v>
      </c>
      <c r="C64" t="str">
        <f>_xlfn.XLOOKUP(B64,'Metadata - Countries'!A:A,'Metadata - Countries'!B:B,"Not found")</f>
        <v>Europe &amp; Central Asia</v>
      </c>
      <c r="D64">
        <v>68.846713561697797</v>
      </c>
    </row>
    <row r="65" spans="1:4">
      <c r="A65" t="s">
        <v>241</v>
      </c>
      <c r="B65" t="s">
        <v>242</v>
      </c>
      <c r="C65" t="str">
        <f>_xlfn.XLOOKUP(B65,'Metadata - Countries'!A:A,'Metadata - Countries'!B:B,"Not found")</f>
        <v>Sub-Saharan Africa</v>
      </c>
      <c r="D65">
        <v>22.0732</v>
      </c>
    </row>
    <row r="66" spans="1:4">
      <c r="A66" t="s">
        <v>245</v>
      </c>
      <c r="B66" t="s">
        <v>246</v>
      </c>
      <c r="C66" t="str">
        <f>_xlfn.XLOOKUP(B66,'Metadata - Countries'!A:A,'Metadata - Countries'!B:B,"Not found")</f>
        <v>Sub-Saharan Africa</v>
      </c>
      <c r="D66">
        <v>23.89049911</v>
      </c>
    </row>
    <row r="67" spans="1:4">
      <c r="A67" t="s">
        <v>247</v>
      </c>
      <c r="B67" t="s">
        <v>248</v>
      </c>
      <c r="C67" t="str">
        <f>_xlfn.XLOOKUP(B67,'Metadata - Countries'!A:A,'Metadata - Countries'!B:B,"Not found")</f>
        <v>Sub-Saharan Africa</v>
      </c>
      <c r="D67">
        <v>31.118299480000001</v>
      </c>
    </row>
    <row r="68" spans="1:4">
      <c r="A68" t="s">
        <v>249</v>
      </c>
      <c r="B68" t="s">
        <v>250</v>
      </c>
      <c r="C68" t="str">
        <f>_xlfn.XLOOKUP(B68,'Metadata - Countries'!A:A,'Metadata - Countries'!B:B,"Not found")</f>
        <v>Sub-Saharan Africa</v>
      </c>
      <c r="D68">
        <v>17.92149925</v>
      </c>
    </row>
    <row r="69" spans="1:4">
      <c r="A69" t="s">
        <v>251</v>
      </c>
      <c r="B69" t="s">
        <v>252</v>
      </c>
      <c r="C69" t="str">
        <f>_xlfn.XLOOKUP(B69,'Metadata - Countries'!A:A,'Metadata - Countries'!B:B,"Not found")</f>
        <v>Sub-Saharan Africa</v>
      </c>
      <c r="D69">
        <v>49.13370132</v>
      </c>
    </row>
    <row r="70" spans="1:4">
      <c r="A70" t="s">
        <v>253</v>
      </c>
      <c r="B70" t="s">
        <v>254</v>
      </c>
      <c r="C70" t="str">
        <f>_xlfn.XLOOKUP(B70,'Metadata - Countries'!A:A,'Metadata - Countries'!B:B,"Not found")</f>
        <v>Europe &amp; Central Asia</v>
      </c>
      <c r="D70">
        <v>75.671206693175705</v>
      </c>
    </row>
    <row r="71" spans="1:4">
      <c r="A71" t="s">
        <v>255</v>
      </c>
      <c r="B71" t="s">
        <v>256</v>
      </c>
      <c r="C71" t="str">
        <f>_xlfn.XLOOKUP(B71,'Metadata - Countries'!A:A,'Metadata - Countries'!B:B,"Not found")</f>
        <v>Latin America &amp; Caribbean</v>
      </c>
      <c r="D71">
        <v>64.312797549999999</v>
      </c>
    </row>
    <row r="72" spans="1:4">
      <c r="A72" t="s">
        <v>259</v>
      </c>
      <c r="B72" t="s">
        <v>260</v>
      </c>
      <c r="C72" t="str">
        <f>_xlfn.XLOOKUP(B72,'Metadata - Countries'!A:A,'Metadata - Countries'!B:B,"Not found")</f>
        <v>Latin America &amp; Caribbean</v>
      </c>
      <c r="D72">
        <v>44.401049838501997</v>
      </c>
    </row>
    <row r="73" spans="1:4">
      <c r="A73" t="s">
        <v>263</v>
      </c>
      <c r="B73" t="s">
        <v>264</v>
      </c>
      <c r="C73" t="str">
        <f>_xlfn.XLOOKUP(B73,'Metadata - Countries'!A:A,'Metadata - Countries'!B:B,"Not found")</f>
        <v>Latin America &amp; Caribbean</v>
      </c>
      <c r="D73">
        <v>55.312698359999999</v>
      </c>
    </row>
    <row r="74" spans="1:4">
      <c r="A74" t="s">
        <v>267</v>
      </c>
      <c r="B74" t="s">
        <v>268</v>
      </c>
      <c r="C74" t="str">
        <f>_xlfn.XLOOKUP(B74,'Metadata - Countries'!A:A,'Metadata - Countries'!B:B,"Not found")</f>
        <v>East Asia &amp; Pacific</v>
      </c>
      <c r="D74">
        <v>91.743400389158694</v>
      </c>
    </row>
    <row r="75" spans="1:4">
      <c r="A75" t="s">
        <v>269</v>
      </c>
      <c r="B75" t="s">
        <v>270</v>
      </c>
      <c r="C75" t="str">
        <f>_xlfn.XLOOKUP(B75,'Metadata - Countries'!A:A,'Metadata - Countries'!B:B,"Not found")</f>
        <v>Latin America &amp; Caribbean</v>
      </c>
      <c r="D75">
        <v>39.388352185011101</v>
      </c>
    </row>
    <row r="76" spans="1:4">
      <c r="A76" t="s">
        <v>273</v>
      </c>
      <c r="B76" t="s">
        <v>274</v>
      </c>
      <c r="C76" t="str">
        <f>_xlfn.XLOOKUP(B76,'Metadata - Countries'!A:A,'Metadata - Countries'!B:B,"Not found")</f>
        <v>Europe &amp; Central Asia</v>
      </c>
      <c r="D76">
        <v>79.079783675755394</v>
      </c>
    </row>
    <row r="77" spans="1:4">
      <c r="A77" t="s">
        <v>275</v>
      </c>
      <c r="B77" t="s">
        <v>276</v>
      </c>
      <c r="C77" t="str">
        <f>_xlfn.XLOOKUP(B77,'Metadata - Countries'!A:A,'Metadata - Countries'!B:B,"Not found")</f>
        <v>Latin America &amp; Caribbean</v>
      </c>
      <c r="D77">
        <v>35.764099119999997</v>
      </c>
    </row>
    <row r="78" spans="1:4">
      <c r="A78" t="s">
        <v>277</v>
      </c>
      <c r="B78" t="s">
        <v>278</v>
      </c>
      <c r="C78" t="str">
        <f>_xlfn.XLOOKUP(B78,'Metadata - Countries'!A:A,'Metadata - Countries'!B:B,"Not found")</f>
        <v>Europe &amp; Central Asia</v>
      </c>
      <c r="D78">
        <v>80.371693605048193</v>
      </c>
    </row>
    <row r="79" spans="1:4">
      <c r="A79" t="s">
        <v>287</v>
      </c>
      <c r="B79" t="s">
        <v>288</v>
      </c>
      <c r="C79" t="str">
        <f>_xlfn.XLOOKUP(B79,'Metadata - Countries'!A:A,'Metadata - Countries'!B:B,"Not found")</f>
        <v>East Asia &amp; Pacific</v>
      </c>
      <c r="D79">
        <v>47.690648978837501</v>
      </c>
    </row>
    <row r="80" spans="1:4">
      <c r="A80" t="s">
        <v>293</v>
      </c>
      <c r="B80" t="s">
        <v>294</v>
      </c>
      <c r="C80" t="str">
        <f>_xlfn.XLOOKUP(B80,'Metadata - Countries'!A:A,'Metadata - Countries'!B:B,"Not found")</f>
        <v>South Asia</v>
      </c>
      <c r="D80">
        <v>29.523500439999999</v>
      </c>
    </row>
    <row r="81" spans="1:4">
      <c r="A81" t="s">
        <v>297</v>
      </c>
      <c r="B81" t="s">
        <v>298</v>
      </c>
      <c r="C81" t="str">
        <f>_xlfn.XLOOKUP(B81,'Metadata - Countries'!A:A,'Metadata - Countries'!B:B,"Not found")</f>
        <v>Europe &amp; Central Asia</v>
      </c>
      <c r="D81">
        <v>87.000055242514605</v>
      </c>
    </row>
    <row r="82" spans="1:4">
      <c r="A82" t="s">
        <v>299</v>
      </c>
      <c r="B82" t="s">
        <v>300</v>
      </c>
      <c r="C82" t="str">
        <f>_xlfn.XLOOKUP(B82,'Metadata - Countries'!A:A,'Metadata - Countries'!B:B,"Not found")</f>
        <v>Middle East &amp; North Africa</v>
      </c>
      <c r="D82">
        <v>72.450904767206495</v>
      </c>
    </row>
    <row r="83" spans="1:4">
      <c r="A83" t="s">
        <v>301</v>
      </c>
      <c r="B83" t="s">
        <v>302</v>
      </c>
      <c r="C83" t="str">
        <f>_xlfn.XLOOKUP(B83,'Metadata - Countries'!A:A,'Metadata - Countries'!B:B,"Not found")</f>
        <v>Middle East &amp; North Africa</v>
      </c>
      <c r="D83">
        <v>44.326346551157897</v>
      </c>
    </row>
    <row r="84" spans="1:4">
      <c r="A84" t="s">
        <v>303</v>
      </c>
      <c r="B84" t="s">
        <v>304</v>
      </c>
      <c r="C84" t="str">
        <f>_xlfn.XLOOKUP(B84,'Metadata - Countries'!A:A,'Metadata - Countries'!B:B,"Not found")</f>
        <v>Europe &amp; Central Asia</v>
      </c>
      <c r="D84">
        <v>99.504941169378696</v>
      </c>
    </row>
    <row r="85" spans="1:4">
      <c r="A85" t="s">
        <v>305</v>
      </c>
      <c r="B85" t="s">
        <v>306</v>
      </c>
      <c r="C85" t="str">
        <f>_xlfn.XLOOKUP(B85,'Metadata - Countries'!A:A,'Metadata - Countries'!B:B,"Not found")</f>
        <v>Middle East &amp; North Africa</v>
      </c>
      <c r="D85">
        <v>86.787877618058303</v>
      </c>
    </row>
    <row r="86" spans="1:4">
      <c r="A86" t="s">
        <v>307</v>
      </c>
      <c r="B86" t="s">
        <v>308</v>
      </c>
      <c r="C86" t="str">
        <f>_xlfn.XLOOKUP(B86,'Metadata - Countries'!A:A,'Metadata - Countries'!B:B,"Not found")</f>
        <v>Europe &amp; Central Asia</v>
      </c>
      <c r="D86">
        <v>67.850710287483594</v>
      </c>
    </row>
    <row r="87" spans="1:4">
      <c r="A87" t="s">
        <v>309</v>
      </c>
      <c r="B87" t="s">
        <v>310</v>
      </c>
      <c r="C87" t="str">
        <f>_xlfn.XLOOKUP(B87,'Metadata - Countries'!A:A,'Metadata - Countries'!B:B,"Not found")</f>
        <v>Latin America &amp; Caribbean</v>
      </c>
      <c r="D87">
        <v>70.841016974335602</v>
      </c>
    </row>
    <row r="88" spans="1:4">
      <c r="A88" t="s">
        <v>311</v>
      </c>
      <c r="B88" t="s">
        <v>312</v>
      </c>
      <c r="C88" t="str">
        <f>_xlfn.XLOOKUP(B88,'Metadata - Countries'!A:A,'Metadata - Countries'!B:B,"Not found")</f>
        <v>Middle East &amp; North Africa</v>
      </c>
      <c r="D88">
        <v>70.084701539999998</v>
      </c>
    </row>
    <row r="89" spans="1:4">
      <c r="A89" t="s">
        <v>313</v>
      </c>
      <c r="B89" t="s">
        <v>314</v>
      </c>
      <c r="C89" t="str">
        <f>_xlfn.XLOOKUP(B89,'Metadata - Countries'!A:A,'Metadata - Countries'!B:B,"Not found")</f>
        <v>East Asia &amp; Pacific</v>
      </c>
      <c r="D89">
        <v>92.730397814552504</v>
      </c>
    </row>
    <row r="90" spans="1:4">
      <c r="A90" t="s">
        <v>315</v>
      </c>
      <c r="B90" t="s">
        <v>316</v>
      </c>
      <c r="C90" t="str">
        <f>_xlfn.XLOOKUP(B90,'Metadata - Countries'!A:A,'Metadata - Countries'!B:B,"Not found")</f>
        <v>Europe &amp; Central Asia</v>
      </c>
      <c r="D90">
        <v>81.877620474628401</v>
      </c>
    </row>
    <row r="91" spans="1:4">
      <c r="A91" t="s">
        <v>317</v>
      </c>
      <c r="B91" t="s">
        <v>318</v>
      </c>
      <c r="C91" t="str">
        <f>_xlfn.XLOOKUP(B91,'Metadata - Countries'!A:A,'Metadata - Countries'!B:B,"Not found")</f>
        <v>Sub-Saharan Africa</v>
      </c>
      <c r="D91">
        <v>22.668773361817099</v>
      </c>
    </row>
    <row r="92" spans="1:4">
      <c r="A92" t="s">
        <v>319</v>
      </c>
      <c r="B92" t="s">
        <v>320</v>
      </c>
      <c r="C92" t="str">
        <f>_xlfn.XLOOKUP(B92,'Metadata - Countries'!A:A,'Metadata - Countries'!B:B,"Not found")</f>
        <v>Europe &amp; Central Asia</v>
      </c>
      <c r="D92">
        <v>64.099999999999994</v>
      </c>
    </row>
    <row r="93" spans="1:4">
      <c r="A93" t="s">
        <v>321</v>
      </c>
      <c r="B93" t="s">
        <v>322</v>
      </c>
      <c r="C93" t="str">
        <f>_xlfn.XLOOKUP(B93,'Metadata - Countries'!A:A,'Metadata - Countries'!B:B,"Not found")</f>
        <v>East Asia &amp; Pacific</v>
      </c>
      <c r="D93">
        <v>52.305878224498002</v>
      </c>
    </row>
    <row r="94" spans="1:4">
      <c r="A94" t="s">
        <v>323</v>
      </c>
      <c r="B94" t="s">
        <v>324</v>
      </c>
      <c r="C94" t="str">
        <f>_xlfn.XLOOKUP(B94,'Metadata - Countries'!A:A,'Metadata - Countries'!B:B,"Not found")</f>
        <v>East Asia &amp; Pacific</v>
      </c>
      <c r="D94">
        <v>41.792999270000003</v>
      </c>
    </row>
    <row r="95" spans="1:4">
      <c r="A95" t="s">
        <v>325</v>
      </c>
      <c r="B95" t="s">
        <v>326</v>
      </c>
      <c r="C95" t="str">
        <f>_xlfn.XLOOKUP(B95,'Metadata - Countries'!A:A,'Metadata - Countries'!B:B,"Not found")</f>
        <v>Latin America &amp; Caribbean</v>
      </c>
      <c r="D95">
        <v>69.434997559999999</v>
      </c>
    </row>
    <row r="96" spans="1:4">
      <c r="A96" t="s">
        <v>327</v>
      </c>
      <c r="B96" t="s">
        <v>328</v>
      </c>
      <c r="C96" t="str">
        <f>_xlfn.XLOOKUP(B96,'Metadata - Countries'!A:A,'Metadata - Countries'!B:B,"Not found")</f>
        <v>East Asia &amp; Pacific</v>
      </c>
      <c r="D96">
        <v>96.157579184238998</v>
      </c>
    </row>
    <row r="97" spans="1:4">
      <c r="A97" t="s">
        <v>329</v>
      </c>
      <c r="B97" t="s">
        <v>330</v>
      </c>
      <c r="C97" t="str">
        <f>_xlfn.XLOOKUP(B97,'Metadata - Countries'!A:A,'Metadata - Countries'!B:B,"Not found")</f>
        <v>Middle East &amp; North Africa</v>
      </c>
      <c r="D97">
        <v>99.542676451848905</v>
      </c>
    </row>
    <row r="98" spans="1:4">
      <c r="A98" t="s">
        <v>333</v>
      </c>
      <c r="B98" t="s">
        <v>334</v>
      </c>
      <c r="C98" t="str">
        <f>_xlfn.XLOOKUP(B98,'Metadata - Countries'!A:A,'Metadata - Countries'!B:B,"Not found")</f>
        <v>East Asia &amp; Pacific</v>
      </c>
      <c r="D98">
        <v>47.032299039999998</v>
      </c>
    </row>
    <row r="99" spans="1:4">
      <c r="A99" t="s">
        <v>335</v>
      </c>
      <c r="B99" t="s">
        <v>336</v>
      </c>
      <c r="C99" t="str">
        <f>_xlfn.XLOOKUP(B99,'Metadata - Countries'!A:A,'Metadata - Countries'!B:B,"Not found")</f>
        <v>Middle East &amp; North Africa</v>
      </c>
      <c r="D99">
        <v>81.481201170000006</v>
      </c>
    </row>
    <row r="100" spans="1:4">
      <c r="A100" t="s">
        <v>337</v>
      </c>
      <c r="B100" t="s">
        <v>338</v>
      </c>
      <c r="C100" t="str">
        <f>_xlfn.XLOOKUP(B100,'Metadata - Countries'!A:A,'Metadata - Countries'!B:B,"Not found")</f>
        <v>Sub-Saharan Africa</v>
      </c>
      <c r="D100">
        <v>19.89579964</v>
      </c>
    </row>
    <row r="101" spans="1:4">
      <c r="A101" t="s">
        <v>339</v>
      </c>
      <c r="B101" t="s">
        <v>340</v>
      </c>
      <c r="C101" t="str">
        <f>_xlfn.XLOOKUP(B101,'Metadata - Countries'!A:A,'Metadata - Countries'!B:B,"Not found")</f>
        <v>Middle East &amp; North Africa</v>
      </c>
      <c r="D101">
        <v>71.404098509999997</v>
      </c>
    </row>
    <row r="102" spans="1:4">
      <c r="A102" t="s">
        <v>341</v>
      </c>
      <c r="B102" t="s">
        <v>342</v>
      </c>
      <c r="C102" t="str">
        <f>_xlfn.XLOOKUP(B102,'Metadata - Countries'!A:A,'Metadata - Countries'!B:B,"Not found")</f>
        <v>Latin America &amp; Caribbean</v>
      </c>
      <c r="D102">
        <v>61.080501560000002</v>
      </c>
    </row>
    <row r="103" spans="1:4">
      <c r="A103" t="s">
        <v>349</v>
      </c>
      <c r="B103" t="s">
        <v>350</v>
      </c>
      <c r="C103" t="str">
        <f>_xlfn.XLOOKUP(B103,'Metadata - Countries'!A:A,'Metadata - Countries'!B:B,"Not found")</f>
        <v>Europe &amp; Central Asia</v>
      </c>
      <c r="D103">
        <v>93.146102909999996</v>
      </c>
    </row>
    <row r="104" spans="1:4">
      <c r="A104" t="s">
        <v>351</v>
      </c>
      <c r="B104" t="s">
        <v>352</v>
      </c>
      <c r="C104" t="str">
        <f>_xlfn.XLOOKUP(B104,'Metadata - Countries'!A:A,'Metadata - Countries'!B:B,"Not found")</f>
        <v>South Asia</v>
      </c>
      <c r="D104">
        <v>32.020900730000001</v>
      </c>
    </row>
    <row r="105" spans="1:4">
      <c r="A105" t="s">
        <v>357</v>
      </c>
      <c r="B105" t="s">
        <v>358</v>
      </c>
      <c r="C105" t="str">
        <f>_xlfn.XLOOKUP(B105,'Metadata - Countries'!A:A,'Metadata - Countries'!B:B,"Not found")</f>
        <v>Sub-Saharan Africa</v>
      </c>
      <c r="D105">
        <v>42.301733569272997</v>
      </c>
    </row>
    <row r="106" spans="1:4">
      <c r="A106" t="s">
        <v>361</v>
      </c>
      <c r="B106" t="s">
        <v>362</v>
      </c>
      <c r="C106" t="str">
        <f>_xlfn.XLOOKUP(B106,'Metadata - Countries'!A:A,'Metadata - Countries'!B:B,"Not found")</f>
        <v>Europe &amp; Central Asia</v>
      </c>
      <c r="D106">
        <v>81.5818683764046</v>
      </c>
    </row>
    <row r="107" spans="1:4">
      <c r="A107" t="s">
        <v>363</v>
      </c>
      <c r="B107" t="s">
        <v>364</v>
      </c>
      <c r="C107" t="str">
        <f>_xlfn.XLOOKUP(B107,'Metadata - Countries'!A:A,'Metadata - Countries'!B:B,"Not found")</f>
        <v>Europe &amp; Central Asia</v>
      </c>
      <c r="D107">
        <v>97.120635693272007</v>
      </c>
    </row>
    <row r="108" spans="1:4">
      <c r="A108" t="s">
        <v>365</v>
      </c>
      <c r="B108" t="s">
        <v>366</v>
      </c>
      <c r="C108" t="str">
        <f>_xlfn.XLOOKUP(B108,'Metadata - Countries'!A:A,'Metadata - Countries'!B:B,"Not found")</f>
        <v>Europe &amp; Central Asia</v>
      </c>
      <c r="D108">
        <v>86.135456443430002</v>
      </c>
    </row>
    <row r="109" spans="1:4">
      <c r="A109" t="s">
        <v>367</v>
      </c>
      <c r="B109" t="s">
        <v>368</v>
      </c>
      <c r="C109" t="str">
        <f>_xlfn.XLOOKUP(B109,'Metadata - Countries'!A:A,'Metadata - Countries'!B:B,"Not found")</f>
        <v>East Asia &amp; Pacific</v>
      </c>
      <c r="D109">
        <v>86.467925706258796</v>
      </c>
    </row>
    <row r="110" spans="1:4">
      <c r="A110" t="s">
        <v>371</v>
      </c>
      <c r="B110" t="s">
        <v>372</v>
      </c>
      <c r="C110" t="str">
        <f>_xlfn.XLOOKUP(B110,'Metadata - Countries'!A:A,'Metadata - Countries'!B:B,"Not found")</f>
        <v>Middle East &amp; North Africa</v>
      </c>
      <c r="D110">
        <v>84.120363046760204</v>
      </c>
    </row>
    <row r="111" spans="1:4">
      <c r="A111" t="s">
        <v>373</v>
      </c>
      <c r="B111" t="s">
        <v>374</v>
      </c>
      <c r="C111" t="str">
        <f>_xlfn.XLOOKUP(B111,'Metadata - Countries'!A:A,'Metadata - Countries'!B:B,"Not found")</f>
        <v>Europe &amp; Central Asia</v>
      </c>
      <c r="D111">
        <v>98</v>
      </c>
    </row>
    <row r="112" spans="1:4">
      <c r="A112" t="s">
        <v>375</v>
      </c>
      <c r="B112" t="s">
        <v>376</v>
      </c>
      <c r="C112" t="str">
        <f>_xlfn.XLOOKUP(B112,'Metadata - Countries'!A:A,'Metadata - Countries'!B:B,"Not found")</f>
        <v>Europe &amp; Central Asia</v>
      </c>
      <c r="D112">
        <v>73.326103209999999</v>
      </c>
    </row>
    <row r="113" spans="1:4">
      <c r="A113" t="s">
        <v>377</v>
      </c>
      <c r="B113" t="s">
        <v>378</v>
      </c>
      <c r="C113" t="str">
        <f>_xlfn.XLOOKUP(B113,'Metadata - Countries'!A:A,'Metadata - Countries'!B:B,"Not found")</f>
        <v>Sub-Saharan Africa</v>
      </c>
      <c r="D113">
        <v>9.379400253</v>
      </c>
    </row>
    <row r="114" spans="1:4">
      <c r="A114" t="s">
        <v>379</v>
      </c>
      <c r="B114" t="s">
        <v>380</v>
      </c>
      <c r="C114" t="str">
        <f>_xlfn.XLOOKUP(B114,'Metadata - Countries'!A:A,'Metadata - Countries'!B:B,"Not found")</f>
        <v>South Asia</v>
      </c>
      <c r="D114">
        <v>77.469703670000001</v>
      </c>
    </row>
    <row r="115" spans="1:4">
      <c r="A115" t="s">
        <v>383</v>
      </c>
      <c r="B115" t="s">
        <v>384</v>
      </c>
      <c r="C115" t="str">
        <f>_xlfn.XLOOKUP(B115,'Metadata - Countries'!A:A,'Metadata - Countries'!B:B,"Not found")</f>
        <v>Latin America &amp; Caribbean</v>
      </c>
      <c r="D115">
        <v>69.6321092705209</v>
      </c>
    </row>
    <row r="116" spans="1:4">
      <c r="A116" t="s">
        <v>385</v>
      </c>
      <c r="B116" t="s">
        <v>386</v>
      </c>
      <c r="C116" t="str">
        <f>_xlfn.XLOOKUP(B116,'Metadata - Countries'!A:A,'Metadata - Countries'!B:B,"Not found")</f>
        <v>East Asia &amp; Pacific</v>
      </c>
      <c r="D116">
        <v>49.757499690000003</v>
      </c>
    </row>
    <row r="117" spans="1:4">
      <c r="A117" t="s">
        <v>389</v>
      </c>
      <c r="B117" t="s">
        <v>390</v>
      </c>
      <c r="C117" t="str">
        <f>_xlfn.XLOOKUP(B117,'Metadata - Countries'!A:A,'Metadata - Countries'!B:B,"Not found")</f>
        <v>Europe &amp; Central Asia</v>
      </c>
      <c r="D117">
        <v>81.4128827618364</v>
      </c>
    </row>
    <row r="118" spans="1:4">
      <c r="A118" t="s">
        <v>391</v>
      </c>
      <c r="B118" t="s">
        <v>392</v>
      </c>
      <c r="C118" t="str">
        <f>_xlfn.XLOOKUP(B118,'Metadata - Countries'!A:A,'Metadata - Countries'!B:B,"Not found")</f>
        <v>Sub-Saharan Africa</v>
      </c>
      <c r="D118">
        <v>24.960300449999998</v>
      </c>
    </row>
    <row r="119" spans="1:4">
      <c r="A119" t="s">
        <v>393</v>
      </c>
      <c r="B119" t="s">
        <v>394</v>
      </c>
      <c r="C119" t="str">
        <f>_xlfn.XLOOKUP(B119,'Metadata - Countries'!A:A,'Metadata - Countries'!B:B,"Not found")</f>
        <v>Middle East &amp; North Africa</v>
      </c>
      <c r="D119">
        <v>85.778596379803105</v>
      </c>
    </row>
    <row r="120" spans="1:4">
      <c r="A120" t="s">
        <v>395</v>
      </c>
      <c r="B120" t="s">
        <v>396</v>
      </c>
      <c r="C120" t="str">
        <f>_xlfn.XLOOKUP(B120,'Metadata - Countries'!A:A,'Metadata - Countries'!B:B,"Not found")</f>
        <v>East Asia &amp; Pacific</v>
      </c>
      <c r="D120">
        <v>36.540500639999998</v>
      </c>
    </row>
    <row r="121" spans="1:4">
      <c r="A121" t="s">
        <v>399</v>
      </c>
      <c r="B121" t="s">
        <v>400</v>
      </c>
      <c r="C121" t="str">
        <f>_xlfn.XLOOKUP(B121,'Metadata - Countries'!A:A,'Metadata - Countries'!B:B,"Not found")</f>
        <v>Europe &amp; Central Asia</v>
      </c>
      <c r="D121">
        <v>73.476665747869106</v>
      </c>
    </row>
    <row r="122" spans="1:4">
      <c r="A122" t="s">
        <v>401</v>
      </c>
      <c r="B122" t="s">
        <v>402</v>
      </c>
      <c r="C122" t="str">
        <f>_xlfn.XLOOKUP(B122,'Metadata - Countries'!A:A,'Metadata - Countries'!B:B,"Not found")</f>
        <v>East Asia &amp; Pacific</v>
      </c>
      <c r="D122">
        <v>51.079994082603001</v>
      </c>
    </row>
    <row r="123" spans="1:4">
      <c r="A123" t="s">
        <v>405</v>
      </c>
      <c r="B123" t="s">
        <v>406</v>
      </c>
      <c r="C123" t="str">
        <f>_xlfn.XLOOKUP(B123,'Metadata - Countries'!A:A,'Metadata - Countries'!B:B,"Not found")</f>
        <v>Sub-Saharan Africa</v>
      </c>
      <c r="D123">
        <v>12.47929955</v>
      </c>
    </row>
    <row r="124" spans="1:4">
      <c r="A124" t="s">
        <v>407</v>
      </c>
      <c r="B124" t="s">
        <v>408</v>
      </c>
      <c r="C124" t="str">
        <f>_xlfn.XLOOKUP(B124,'Metadata - Countries'!A:A,'Metadata - Countries'!B:B,"Not found")</f>
        <v>Sub-Saharan Africa</v>
      </c>
      <c r="D124">
        <v>25.097799299999998</v>
      </c>
    </row>
    <row r="125" spans="1:4">
      <c r="A125" t="s">
        <v>409</v>
      </c>
      <c r="B125" t="s">
        <v>410</v>
      </c>
      <c r="C125" t="str">
        <f>_xlfn.XLOOKUP(B125,'Metadata - Countries'!A:A,'Metadata - Countries'!B:B,"Not found")</f>
        <v>Sub-Saharan Africa</v>
      </c>
      <c r="D125">
        <v>61.7299551453346</v>
      </c>
    </row>
    <row r="126" spans="1:4">
      <c r="A126" t="s">
        <v>411</v>
      </c>
      <c r="B126" t="s">
        <v>412</v>
      </c>
      <c r="C126" t="str">
        <f>_xlfn.XLOOKUP(B126,'Metadata - Countries'!A:A,'Metadata - Countries'!B:B,"Not found")</f>
        <v>Sub-Saharan Africa</v>
      </c>
      <c r="D126">
        <v>11.05860043</v>
      </c>
    </row>
    <row r="127" spans="1:4">
      <c r="A127" t="s">
        <v>413</v>
      </c>
      <c r="B127" t="s">
        <v>414</v>
      </c>
      <c r="C127" t="str">
        <f>_xlfn.XLOOKUP(B127,'Metadata - Countries'!A:A,'Metadata - Countries'!B:B,"Not found")</f>
        <v>East Asia &amp; Pacific</v>
      </c>
      <c r="D127">
        <v>84.187145007828093</v>
      </c>
    </row>
    <row r="128" spans="1:4">
      <c r="A128" t="s">
        <v>417</v>
      </c>
      <c r="B128" t="s">
        <v>418</v>
      </c>
      <c r="C128" t="str">
        <f>_xlfn.XLOOKUP(B128,'Metadata - Countries'!A:A,'Metadata - Countries'!B:B,"Not found")</f>
        <v>Sub-Saharan Africa</v>
      </c>
      <c r="D128">
        <v>49.775901789999999</v>
      </c>
    </row>
    <row r="129" spans="1:4">
      <c r="A129" t="s">
        <v>421</v>
      </c>
      <c r="B129" t="s">
        <v>422</v>
      </c>
      <c r="C129" t="str">
        <f>_xlfn.XLOOKUP(B129,'Metadata - Countries'!A:A,'Metadata - Countries'!B:B,"Not found")</f>
        <v>Sub-Saharan Africa</v>
      </c>
      <c r="D129">
        <v>11.285499570000001</v>
      </c>
    </row>
    <row r="130" spans="1:4">
      <c r="A130" t="s">
        <v>423</v>
      </c>
      <c r="B130" t="s">
        <v>424</v>
      </c>
      <c r="C130" t="str">
        <f>_xlfn.XLOOKUP(B130,'Metadata - Countries'!A:A,'Metadata - Countries'!B:B,"Not found")</f>
        <v>Sub-Saharan Africa</v>
      </c>
      <c r="D130">
        <v>29.744100570000001</v>
      </c>
    </row>
    <row r="131" spans="1:4">
      <c r="A131" t="s">
        <v>425</v>
      </c>
      <c r="B131" t="s">
        <v>426</v>
      </c>
      <c r="C131" t="str">
        <f>_xlfn.XLOOKUP(B131,'Metadata - Countries'!A:A,'Metadata - Countries'!B:B,"Not found")</f>
        <v>Latin America &amp; Caribbean</v>
      </c>
      <c r="D131">
        <v>39.010799409999997</v>
      </c>
    </row>
    <row r="132" spans="1:4">
      <c r="A132" t="s">
        <v>427</v>
      </c>
      <c r="B132" t="s">
        <v>428</v>
      </c>
      <c r="C132" t="str">
        <f>_xlfn.XLOOKUP(B132,'Metadata - Countries'!A:A,'Metadata - Countries'!B:B,"Not found")</f>
        <v>Europe &amp; Central Asia</v>
      </c>
      <c r="D132">
        <v>93.288590604026894</v>
      </c>
    </row>
    <row r="133" spans="1:4">
      <c r="A133" t="s">
        <v>429</v>
      </c>
      <c r="B133" t="s">
        <v>430</v>
      </c>
      <c r="C133" t="str">
        <f>_xlfn.XLOOKUP(B133,'Metadata - Countries'!A:A,'Metadata - Countries'!B:B,"Not found")</f>
        <v>Europe &amp; Central Asia</v>
      </c>
      <c r="D133">
        <v>98.000004385314199</v>
      </c>
    </row>
    <row r="134" spans="1:4">
      <c r="A134" t="s">
        <v>431</v>
      </c>
      <c r="B134" t="s">
        <v>432</v>
      </c>
      <c r="C134" t="str">
        <f>_xlfn.XLOOKUP(B134,'Metadata - Countries'!A:A,'Metadata - Countries'!B:B,"Not found")</f>
        <v>South Asia</v>
      </c>
      <c r="D134">
        <v>33.336601260000002</v>
      </c>
    </row>
    <row r="135" spans="1:4">
      <c r="A135" t="s">
        <v>433</v>
      </c>
      <c r="B135" t="s">
        <v>434</v>
      </c>
      <c r="C135" t="str">
        <f>_xlfn.XLOOKUP(B135,'Metadata - Countries'!A:A,'Metadata - Countries'!B:B,"Not found")</f>
        <v>East Asia &amp; Pacific</v>
      </c>
      <c r="D135">
        <v>74.737899780000006</v>
      </c>
    </row>
    <row r="136" spans="1:4">
      <c r="A136" t="s">
        <v>435</v>
      </c>
      <c r="B136" t="s">
        <v>436</v>
      </c>
      <c r="C136" t="str">
        <f>_xlfn.XLOOKUP(B136,'Metadata - Countries'!A:A,'Metadata - Countries'!B:B,"Not found")</f>
        <v>East Asia &amp; Pacific</v>
      </c>
      <c r="D136">
        <v>89.863700870000002</v>
      </c>
    </row>
    <row r="137" spans="1:4">
      <c r="A137" t="s">
        <v>439</v>
      </c>
      <c r="B137" t="s">
        <v>440</v>
      </c>
      <c r="C137" t="str">
        <f>_xlfn.XLOOKUP(B137,'Metadata - Countries'!A:A,'Metadata - Countries'!B:B,"Not found")</f>
        <v>Middle East &amp; North Africa</v>
      </c>
      <c r="D137">
        <v>90.25939941</v>
      </c>
    </row>
    <row r="138" spans="1:4">
      <c r="A138" t="s">
        <v>443</v>
      </c>
      <c r="B138" t="s">
        <v>444</v>
      </c>
      <c r="C138" t="str">
        <f>_xlfn.XLOOKUP(B138,'Metadata - Countries'!A:A,'Metadata - Countries'!B:B,"Not found")</f>
        <v>Middle East &amp; North Africa</v>
      </c>
      <c r="D138">
        <v>17.070901719916002</v>
      </c>
    </row>
    <row r="139" spans="1:4">
      <c r="A139" t="s">
        <v>445</v>
      </c>
      <c r="B139" t="s">
        <v>446</v>
      </c>
      <c r="C139" t="str">
        <f>_xlfn.XLOOKUP(B139,'Metadata - Countries'!A:A,'Metadata - Countries'!B:B,"Not found")</f>
        <v>Latin America &amp; Caribbean</v>
      </c>
      <c r="D139">
        <v>63.628414773145103</v>
      </c>
    </row>
    <row r="140" spans="1:4">
      <c r="A140" t="s">
        <v>447</v>
      </c>
      <c r="B140" t="s">
        <v>448</v>
      </c>
      <c r="C140" t="str">
        <f>_xlfn.XLOOKUP(B140,'Metadata - Countries'!A:A,'Metadata - Countries'!B:B,"Not found")</f>
        <v>Latin America &amp; Caribbean</v>
      </c>
      <c r="D140">
        <v>59.950503604900597</v>
      </c>
    </row>
    <row r="141" spans="1:4">
      <c r="A141" t="s">
        <v>449</v>
      </c>
      <c r="B141" t="s">
        <v>450</v>
      </c>
      <c r="C141" t="str">
        <f>_xlfn.XLOOKUP(B141,'Metadata - Countries'!A:A,'Metadata - Countries'!B:B,"Not found")</f>
        <v>East Asia &amp; Pacific</v>
      </c>
      <c r="D141">
        <v>43.026611868027899</v>
      </c>
    </row>
    <row r="142" spans="1:4">
      <c r="A142" t="s">
        <v>453</v>
      </c>
      <c r="B142" t="s">
        <v>454</v>
      </c>
      <c r="C142" t="str">
        <f>_xlfn.XLOOKUP(B142,'Metadata - Countries'!A:A,'Metadata - Countries'!B:B,"Not found")</f>
        <v>East Asia &amp; Pacific</v>
      </c>
      <c r="D142">
        <v>13.62419987</v>
      </c>
    </row>
    <row r="143" spans="1:4">
      <c r="A143" t="s">
        <v>455</v>
      </c>
      <c r="B143" t="s">
        <v>456</v>
      </c>
      <c r="C143" t="str">
        <f>_xlfn.XLOOKUP(B143,'Metadata - Countries'!A:A,'Metadata - Countries'!B:B,"Not found")</f>
        <v>Europe &amp; Central Asia</v>
      </c>
      <c r="D143">
        <v>80.435906876867307</v>
      </c>
    </row>
    <row r="144" spans="1:4">
      <c r="A144" t="s">
        <v>459</v>
      </c>
      <c r="B144" t="s">
        <v>460</v>
      </c>
      <c r="C144" t="str">
        <f>_xlfn.XLOOKUP(B144,'Metadata - Countries'!A:A,'Metadata - Countries'!B:B,"Not found")</f>
        <v>Latin America &amp; Caribbean</v>
      </c>
      <c r="D144">
        <v>77.7364393708352</v>
      </c>
    </row>
    <row r="145" spans="1:4">
      <c r="A145" t="s">
        <v>463</v>
      </c>
      <c r="B145" t="s">
        <v>464</v>
      </c>
      <c r="C145" t="str">
        <f>_xlfn.XLOOKUP(B145,'Metadata - Countries'!A:A,'Metadata - Countries'!B:B,"Not found")</f>
        <v>Europe &amp; Central Asia</v>
      </c>
      <c r="D145">
        <v>75.346377940871207</v>
      </c>
    </row>
    <row r="146" spans="1:4">
      <c r="A146" t="s">
        <v>465</v>
      </c>
      <c r="B146" t="s">
        <v>466</v>
      </c>
      <c r="C146" t="str">
        <f>_xlfn.XLOOKUP(B146,'Metadata - Countries'!A:A,'Metadata - Countries'!B:B,"Not found")</f>
        <v>Latin America &amp; Caribbean</v>
      </c>
      <c r="D146">
        <v>68.517628422226394</v>
      </c>
    </row>
    <row r="147" spans="1:4">
      <c r="A147" t="s">
        <v>467</v>
      </c>
      <c r="B147" t="s">
        <v>468</v>
      </c>
      <c r="C147" t="str">
        <f>_xlfn.XLOOKUP(B147,'Metadata - Countries'!A:A,'Metadata - Countries'!B:B,"Not found")</f>
        <v>Middle East &amp; North Africa</v>
      </c>
      <c r="D147">
        <v>70.622583700175795</v>
      </c>
    </row>
    <row r="148" spans="1:4">
      <c r="A148" t="s">
        <v>475</v>
      </c>
      <c r="B148" t="s">
        <v>476</v>
      </c>
      <c r="C148" t="str">
        <f>_xlfn.XLOOKUP(B148,'Metadata - Countries'!A:A,'Metadata - Countries'!B:B,"Not found")</f>
        <v>Middle East &amp; North Africa</v>
      </c>
      <c r="D148">
        <v>99.652804208638898</v>
      </c>
    </row>
    <row r="149" spans="1:4">
      <c r="A149" t="s">
        <v>477</v>
      </c>
      <c r="B149" t="s">
        <v>478</v>
      </c>
      <c r="C149" t="str">
        <f>_xlfn.XLOOKUP(B149,'Metadata - Countries'!A:A,'Metadata - Countries'!B:B,"Not found")</f>
        <v>Europe &amp; Central Asia</v>
      </c>
      <c r="D149">
        <v>73.657475754546496</v>
      </c>
    </row>
    <row r="150" spans="1:4">
      <c r="A150" t="s">
        <v>479</v>
      </c>
      <c r="B150" t="s">
        <v>480</v>
      </c>
      <c r="C150" t="str">
        <f>_xlfn.XLOOKUP(B150,'Metadata - Countries'!A:A,'Metadata - Countries'!B:B,"Not found")</f>
        <v>Europe &amp; Central Asia</v>
      </c>
      <c r="D150">
        <v>82.642161867066804</v>
      </c>
    </row>
    <row r="151" spans="1:4">
      <c r="A151" t="s">
        <v>481</v>
      </c>
      <c r="B151" t="s">
        <v>482</v>
      </c>
      <c r="C151" t="str">
        <f>_xlfn.XLOOKUP(B151,'Metadata - Countries'!A:A,'Metadata - Countries'!B:B,"Not found")</f>
        <v>Sub-Saharan Africa</v>
      </c>
      <c r="D151">
        <v>21.357999800000002</v>
      </c>
    </row>
    <row r="152" spans="1:4">
      <c r="A152" t="s">
        <v>485</v>
      </c>
      <c r="B152" t="s">
        <v>486</v>
      </c>
      <c r="C152" t="str">
        <f>_xlfn.XLOOKUP(B152,'Metadata - Countries'!A:A,'Metadata - Countries'!B:B,"Not found")</f>
        <v>Middle East &amp; North Africa</v>
      </c>
      <c r="D152">
        <v>95.724735595381205</v>
      </c>
    </row>
    <row r="153" spans="1:4">
      <c r="A153" t="s">
        <v>489</v>
      </c>
      <c r="B153" t="s">
        <v>490</v>
      </c>
      <c r="C153" t="str">
        <f>_xlfn.XLOOKUP(B153,'Metadata - Countries'!A:A,'Metadata - Countries'!B:B,"Not found")</f>
        <v>Sub-Saharan Africa</v>
      </c>
      <c r="D153">
        <v>43.379699709999997</v>
      </c>
    </row>
    <row r="154" spans="1:4">
      <c r="A154" t="s">
        <v>491</v>
      </c>
      <c r="B154" t="s">
        <v>492</v>
      </c>
      <c r="C154" t="str">
        <f>_xlfn.XLOOKUP(B154,'Metadata - Countries'!A:A,'Metadata - Countries'!B:B,"Not found")</f>
        <v>East Asia &amp; Pacific</v>
      </c>
      <c r="D154">
        <v>88.949252685076203</v>
      </c>
    </row>
    <row r="155" spans="1:4">
      <c r="A155" t="s">
        <v>493</v>
      </c>
      <c r="B155" t="s">
        <v>494</v>
      </c>
      <c r="C155" t="str">
        <f>_xlfn.XLOOKUP(B155,'Metadata - Countries'!A:A,'Metadata - Countries'!B:B,"Not found")</f>
        <v>East Asia &amp; Pacific</v>
      </c>
      <c r="D155">
        <v>22.488800049999998</v>
      </c>
    </row>
    <row r="156" spans="1:4">
      <c r="A156" t="s">
        <v>495</v>
      </c>
      <c r="B156" t="s">
        <v>496</v>
      </c>
      <c r="C156" t="str">
        <f>_xlfn.XLOOKUP(B156,'Metadata - Countries'!A:A,'Metadata - Countries'!B:B,"Not found")</f>
        <v>Sub-Saharan Africa</v>
      </c>
      <c r="D156">
        <v>15.71370029</v>
      </c>
    </row>
    <row r="157" spans="1:4">
      <c r="A157" t="s">
        <v>497</v>
      </c>
      <c r="B157" t="s">
        <v>498</v>
      </c>
      <c r="C157" t="str">
        <f>_xlfn.XLOOKUP(B157,'Metadata - Countries'!A:A,'Metadata - Countries'!B:B,"Not found")</f>
        <v>Latin America &amp; Caribbean</v>
      </c>
      <c r="D157">
        <v>50.491194067388797</v>
      </c>
    </row>
    <row r="158" spans="1:4">
      <c r="A158" t="s">
        <v>499</v>
      </c>
      <c r="B158" t="s">
        <v>500</v>
      </c>
      <c r="C158" t="str">
        <f>_xlfn.XLOOKUP(B158,'Metadata - Countries'!A:A,'Metadata - Countries'!B:B,"Not found")</f>
        <v>Europe &amp; Central Asia</v>
      </c>
      <c r="D158">
        <v>67.850700380000006</v>
      </c>
    </row>
    <row r="159" spans="1:4">
      <c r="A159" t="s">
        <v>501</v>
      </c>
      <c r="B159" t="s">
        <v>502</v>
      </c>
      <c r="C159" t="str">
        <f>_xlfn.XLOOKUP(B159,'Metadata - Countries'!A:A,'Metadata - Countries'!B:B,"Not found")</f>
        <v>Sub-Saharan Africa</v>
      </c>
      <c r="D159">
        <v>2.731400013</v>
      </c>
    </row>
    <row r="160" spans="1:4">
      <c r="A160" t="s">
        <v>503</v>
      </c>
      <c r="B160" t="s">
        <v>504</v>
      </c>
      <c r="C160" t="str">
        <f>_xlfn.XLOOKUP(B160,'Metadata - Countries'!A:A,'Metadata - Countries'!B:B,"Not found")</f>
        <v>Europe &amp; Central Asia</v>
      </c>
      <c r="D160">
        <v>77.416773621980198</v>
      </c>
    </row>
    <row r="161" spans="1:4">
      <c r="A161" t="s">
        <v>507</v>
      </c>
      <c r="B161" t="s">
        <v>508</v>
      </c>
      <c r="C161" t="str">
        <f>_xlfn.XLOOKUP(B161,'Metadata - Countries'!A:A,'Metadata - Countries'!B:B,"Not found")</f>
        <v>Sub-Saharan Africa</v>
      </c>
      <c r="D161">
        <v>6.6710000039999997</v>
      </c>
    </row>
    <row r="162" spans="1:4">
      <c r="A162" t="s">
        <v>513</v>
      </c>
      <c r="B162" t="s">
        <v>514</v>
      </c>
      <c r="C162" t="str">
        <f>_xlfn.XLOOKUP(B162,'Metadata - Countries'!A:A,'Metadata - Countries'!B:B,"Not found")</f>
        <v>Sub-Saharan Africa</v>
      </c>
      <c r="D162">
        <v>44.257900239999998</v>
      </c>
    </row>
    <row r="163" spans="1:4">
      <c r="A163" t="s">
        <v>515</v>
      </c>
      <c r="B163" t="s">
        <v>516</v>
      </c>
      <c r="C163" t="str">
        <f>_xlfn.XLOOKUP(B163,'Metadata - Countries'!A:A,'Metadata - Countries'!B:B,"Not found")</f>
        <v>Latin America &amp; Caribbean</v>
      </c>
      <c r="D163">
        <v>62.033500670000002</v>
      </c>
    </row>
    <row r="164" spans="1:4">
      <c r="A164" t="s">
        <v>517</v>
      </c>
      <c r="B164" t="s">
        <v>518</v>
      </c>
      <c r="C164" t="str">
        <f>_xlfn.XLOOKUP(B164,'Metadata - Countries'!A:A,'Metadata - Countries'!B:B,"Not found")</f>
        <v>Europe &amp; Central Asia</v>
      </c>
      <c r="D164">
        <v>82.8536605021784</v>
      </c>
    </row>
    <row r="165" spans="1:4">
      <c r="A165" t="s">
        <v>519</v>
      </c>
      <c r="B165" t="s">
        <v>520</v>
      </c>
      <c r="C165" t="str">
        <f>_xlfn.XLOOKUP(B165,'Metadata - Countries'!A:A,'Metadata - Countries'!B:B,"Not found")</f>
        <v>Europe &amp; Central Asia</v>
      </c>
      <c r="D165">
        <v>83.108357802671705</v>
      </c>
    </row>
    <row r="166" spans="1:4">
      <c r="A166" t="s">
        <v>521</v>
      </c>
      <c r="B166" t="s">
        <v>522</v>
      </c>
      <c r="C166" t="str">
        <f>_xlfn.XLOOKUP(B166,'Metadata - Countries'!A:A,'Metadata - Countries'!B:B,"Not found")</f>
        <v>Europe &amp; Central Asia</v>
      </c>
      <c r="D166">
        <v>94.493443407220198</v>
      </c>
    </row>
    <row r="167" spans="1:4">
      <c r="A167" t="s">
        <v>523</v>
      </c>
      <c r="B167" t="s">
        <v>524</v>
      </c>
      <c r="C167" t="str">
        <f>_xlfn.XLOOKUP(B167,'Metadata - Countries'!A:A,'Metadata - Countries'!B:B,"Not found")</f>
        <v>Sub-Saharan Africa</v>
      </c>
      <c r="D167">
        <v>43.933898929999998</v>
      </c>
    </row>
    <row r="168" spans="1:4">
      <c r="A168" t="s">
        <v>527</v>
      </c>
      <c r="B168" t="s">
        <v>528</v>
      </c>
      <c r="C168" t="str">
        <f>_xlfn.XLOOKUP(B168,'Metadata - Countries'!A:A,'Metadata - Countries'!B:B,"Not found")</f>
        <v>Sub-Saharan Africa</v>
      </c>
      <c r="D168">
        <v>76.634201050000001</v>
      </c>
    </row>
    <row r="169" spans="1:4">
      <c r="A169" t="s">
        <v>533</v>
      </c>
      <c r="B169" t="s">
        <v>534</v>
      </c>
      <c r="C169" t="str">
        <f>_xlfn.XLOOKUP(B169,'Metadata - Countries'!A:A,'Metadata - Countries'!B:B,"Not found")</f>
        <v>Sub-Saharan Africa</v>
      </c>
      <c r="D169">
        <v>7.6181998249999996</v>
      </c>
    </row>
    <row r="170" spans="1:4">
      <c r="A170" t="s">
        <v>539</v>
      </c>
      <c r="B170" t="s">
        <v>540</v>
      </c>
      <c r="C170" t="str">
        <f>_xlfn.XLOOKUP(B170,'Metadata - Countries'!A:A,'Metadata - Countries'!B:B,"Not found")</f>
        <v>Sub-Saharan Africa</v>
      </c>
      <c r="D170">
        <v>20.727300639999999</v>
      </c>
    </row>
    <row r="171" spans="1:4">
      <c r="A171" t="s">
        <v>541</v>
      </c>
      <c r="B171" t="s">
        <v>542</v>
      </c>
      <c r="C171" t="str">
        <f>_xlfn.XLOOKUP(B171,'Metadata - Countries'!A:A,'Metadata - Countries'!B:B,"Not found")</f>
        <v>East Asia &amp; Pacific</v>
      </c>
      <c r="D171">
        <v>66.652419458752803</v>
      </c>
    </row>
    <row r="172" spans="1:4">
      <c r="A172" t="s">
        <v>543</v>
      </c>
      <c r="B172" t="s">
        <v>544</v>
      </c>
      <c r="C172" t="str">
        <f>_xlfn.XLOOKUP(B172,'Metadata - Countries'!A:A,'Metadata - Countries'!B:B,"Not found")</f>
        <v>Europe &amp; Central Asia</v>
      </c>
      <c r="D172">
        <v>22.686300280000001</v>
      </c>
    </row>
    <row r="173" spans="1:4">
      <c r="A173" t="s">
        <v>549</v>
      </c>
      <c r="B173" t="s">
        <v>550</v>
      </c>
      <c r="C173" t="str">
        <f>_xlfn.XLOOKUP(B173,'Metadata - Countries'!A:A,'Metadata - Countries'!B:B,"Not found")</f>
        <v>East Asia &amp; Pacific</v>
      </c>
      <c r="D173">
        <v>28.00460052</v>
      </c>
    </row>
    <row r="174" spans="1:4">
      <c r="A174" t="s">
        <v>553</v>
      </c>
      <c r="B174" t="s">
        <v>554</v>
      </c>
      <c r="C174" t="str">
        <f>_xlfn.XLOOKUP(B174,'Metadata - Countries'!A:A,'Metadata - Countries'!B:B,"Not found")</f>
        <v>East Asia &amp; Pacific</v>
      </c>
      <c r="D174">
        <v>51.562999730000001</v>
      </c>
    </row>
    <row r="175" spans="1:4">
      <c r="A175" t="s">
        <v>559</v>
      </c>
      <c r="B175" t="s">
        <v>560</v>
      </c>
      <c r="C175" t="str">
        <f>_xlfn.XLOOKUP(B175,'Metadata - Countries'!A:A,'Metadata - Countries'!B:B,"Not found")</f>
        <v>Latin America &amp; Caribbean</v>
      </c>
      <c r="D175">
        <v>74.986701969999999</v>
      </c>
    </row>
    <row r="176" spans="1:4">
      <c r="A176" t="s">
        <v>561</v>
      </c>
      <c r="B176" t="s">
        <v>562</v>
      </c>
      <c r="C176" t="str">
        <f>_xlfn.XLOOKUP(B176,'Metadata - Countries'!A:A,'Metadata - Countries'!B:B,"Not found")</f>
        <v>Middle East &amp; North Africa</v>
      </c>
      <c r="D176">
        <v>66.6999983024144</v>
      </c>
    </row>
    <row r="177" spans="1:4">
      <c r="A177" t="s">
        <v>563</v>
      </c>
      <c r="B177" t="s">
        <v>564</v>
      </c>
      <c r="C177" t="str">
        <f>_xlfn.XLOOKUP(B177,'Metadata - Countries'!A:A,'Metadata - Countries'!B:B,"Not found")</f>
        <v>Europe &amp; Central Asia</v>
      </c>
      <c r="D177">
        <v>73.976702287151099</v>
      </c>
    </row>
    <row r="178" spans="1:4">
      <c r="A178" t="s">
        <v>567</v>
      </c>
      <c r="B178" t="s">
        <v>568</v>
      </c>
      <c r="C178" t="str">
        <f>_xlfn.XLOOKUP(B178,'Metadata - Countries'!A:A,'Metadata - Countries'!B:B,"Not found")</f>
        <v>Sub-Saharan Africa</v>
      </c>
      <c r="D178">
        <v>16.590900420000001</v>
      </c>
    </row>
    <row r="179" spans="1:4">
      <c r="A179" t="s">
        <v>569</v>
      </c>
      <c r="B179" t="s">
        <v>570</v>
      </c>
      <c r="C179" t="str">
        <f>_xlfn.XLOOKUP(B179,'Metadata - Countries'!A:A,'Metadata - Countries'!B:B,"Not found")</f>
        <v>Sub-Saharan Africa</v>
      </c>
      <c r="D179">
        <v>11.72579956</v>
      </c>
    </row>
    <row r="180" spans="1:4">
      <c r="A180" t="s">
        <v>571</v>
      </c>
      <c r="B180" t="s">
        <v>572</v>
      </c>
      <c r="C180" t="str">
        <f>_xlfn.XLOOKUP(B180,'Metadata - Countries'!A:A,'Metadata - Countries'!B:B,"Not found")</f>
        <v>Europe &amp; Central Asia</v>
      </c>
      <c r="D180">
        <v>70.124844299526302</v>
      </c>
    </row>
    <row r="181" spans="1:4">
      <c r="A181" t="s">
        <v>575</v>
      </c>
      <c r="B181" t="s">
        <v>576</v>
      </c>
      <c r="C181" t="str">
        <f>_xlfn.XLOOKUP(B181,'Metadata - Countries'!A:A,'Metadata - Countries'!B:B,"Not found")</f>
        <v>Latin America &amp; Caribbean</v>
      </c>
      <c r="D181">
        <v>83.351533766754798</v>
      </c>
    </row>
    <row r="182" spans="1:4">
      <c r="A182" t="s">
        <v>577</v>
      </c>
      <c r="B182" t="s">
        <v>578</v>
      </c>
      <c r="C182" t="str">
        <f>_xlfn.XLOOKUP(B182,'Metadata - Countries'!A:A,'Metadata - Countries'!B:B,"Not found")</f>
        <v>North America</v>
      </c>
      <c r="D182">
        <v>89.430284857571195</v>
      </c>
    </row>
    <row r="183" spans="1:4">
      <c r="A183" t="s">
        <v>579</v>
      </c>
      <c r="B183" t="s">
        <v>580</v>
      </c>
      <c r="C183" t="str">
        <f>_xlfn.XLOOKUP(B183,'Metadata - Countries'!A:A,'Metadata - Countries'!B:B,"Not found")</f>
        <v>Europe &amp; Central Asia</v>
      </c>
      <c r="D183">
        <v>70.399998648145797</v>
      </c>
    </row>
    <row r="184" spans="1:4">
      <c r="A184" t="s">
        <v>581</v>
      </c>
      <c r="B184" t="s">
        <v>582</v>
      </c>
      <c r="C184" t="str">
        <f>_xlfn.XLOOKUP(B184,'Metadata - Countries'!A:A,'Metadata - Countries'!B:B,"Not found")</f>
        <v>Latin America &amp; Caribbean</v>
      </c>
      <c r="D184">
        <v>59.576301569999998</v>
      </c>
    </row>
    <row r="185" spans="1:4">
      <c r="A185" t="s">
        <v>583</v>
      </c>
      <c r="B185" t="s">
        <v>584</v>
      </c>
      <c r="C185" t="str">
        <f>_xlfn.XLOOKUP(B185,'Metadata - Countries'!A:A,'Metadata - Countries'!B:B,"Not found")</f>
        <v>Latin America &amp; Caribbean</v>
      </c>
      <c r="D185">
        <v>49.050098419999998</v>
      </c>
    </row>
    <row r="186" spans="1:4">
      <c r="A186" t="s">
        <v>589</v>
      </c>
      <c r="B186" t="s">
        <v>590</v>
      </c>
      <c r="C186" t="str">
        <f>_xlfn.XLOOKUP(B186,'Metadata - Countries'!A:A,'Metadata - Countries'!B:B,"Not found")</f>
        <v>East Asia &amp; Pacific</v>
      </c>
      <c r="D186">
        <v>68.661580205733799</v>
      </c>
    </row>
    <row r="187" spans="1:4">
      <c r="A187" t="s">
        <v>599</v>
      </c>
      <c r="B187" t="s">
        <v>600</v>
      </c>
      <c r="C187" t="str">
        <f>_xlfn.XLOOKUP(B187,'Metadata - Countries'!A:A,'Metadata - Countries'!B:B,"Not found")</f>
        <v>Middle East &amp; North Africa</v>
      </c>
      <c r="D187">
        <v>17.490999219999999</v>
      </c>
    </row>
    <row r="188" spans="1:4">
      <c r="A188" t="s">
        <v>601</v>
      </c>
      <c r="B188" t="s">
        <v>602</v>
      </c>
      <c r="C188" t="str">
        <f>_xlfn.XLOOKUP(B188,'Metadata - Countries'!A:A,'Metadata - Countries'!B:B,"Not found")</f>
        <v>Sub-Saharan Africa</v>
      </c>
      <c r="D188">
        <v>69.69689941</v>
      </c>
    </row>
    <row r="189" spans="1:4">
      <c r="A189" t="s">
        <v>603</v>
      </c>
      <c r="B189" t="s">
        <v>604</v>
      </c>
      <c r="C189" t="str">
        <f>_xlfn.XLOOKUP(B189,'Metadata - Countries'!A:A,'Metadata - Countries'!B:B,"Not found")</f>
        <v>Sub-Saharan Africa</v>
      </c>
      <c r="D189">
        <v>14.471899990000001</v>
      </c>
    </row>
    <row r="190" spans="1:4">
      <c r="A190" t="s">
        <v>605</v>
      </c>
      <c r="B190" t="s">
        <v>606</v>
      </c>
      <c r="C190" t="str">
        <f>_xlfn.XLOOKUP(B190,'Metadata - Countries'!A:A,'Metadata - Countries'!B:B,"Not found")</f>
        <v>Sub-Saharan Africa</v>
      </c>
      <c r="D190">
        <v>26.588300700000001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7D31F-12B3-4C61-B8C1-711227EB904B}">
  <dimension ref="A2:F73"/>
  <sheetViews>
    <sheetView topLeftCell="A50" workbookViewId="0">
      <selection activeCell="I18" sqref="I18"/>
    </sheetView>
  </sheetViews>
  <sheetFormatPr defaultRowHeight="15"/>
  <cols>
    <col min="1" max="1" width="24.85546875" customWidth="1"/>
    <col min="2" max="2" width="17.28515625" bestFit="1" customWidth="1"/>
    <col min="3" max="4" width="26.28515625" bestFit="1" customWidth="1"/>
    <col min="5" max="6" width="12.5703125" bestFit="1" customWidth="1"/>
    <col min="7" max="7" width="11.42578125" bestFit="1" customWidth="1"/>
    <col min="8" max="28" width="12.5703125" bestFit="1" customWidth="1"/>
    <col min="29" max="29" width="11.42578125" bestFit="1" customWidth="1"/>
    <col min="30" max="30" width="8.28515625" bestFit="1" customWidth="1"/>
    <col min="31" max="35" width="12.5703125" bestFit="1" customWidth="1"/>
    <col min="36" max="37" width="11.42578125" bestFit="1" customWidth="1"/>
    <col min="38" max="74" width="12.5703125" bestFit="1" customWidth="1"/>
    <col min="75" max="76" width="11.42578125" bestFit="1" customWidth="1"/>
    <col min="77" max="77" width="12.5703125" bestFit="1" customWidth="1"/>
    <col min="78" max="78" width="5.140625" bestFit="1" customWidth="1"/>
    <col min="79" max="80" width="12.5703125" bestFit="1" customWidth="1"/>
    <col min="81" max="81" width="11.42578125" bestFit="1" customWidth="1"/>
    <col min="82" max="87" width="12.5703125" bestFit="1" customWidth="1"/>
    <col min="88" max="88" width="11.42578125" bestFit="1" customWidth="1"/>
    <col min="89" max="89" width="5.140625" bestFit="1" customWidth="1"/>
    <col min="90" max="93" width="12.5703125" bestFit="1" customWidth="1"/>
    <col min="94" max="94" width="11.42578125" bestFit="1" customWidth="1"/>
    <col min="95" max="107" width="12.5703125" bestFit="1" customWidth="1"/>
    <col min="108" max="108" width="11.42578125" bestFit="1" customWidth="1"/>
    <col min="109" max="110" width="12.5703125" bestFit="1" customWidth="1"/>
    <col min="111" max="111" width="11.42578125" bestFit="1" customWidth="1"/>
    <col min="112" max="144" width="12.5703125" bestFit="1" customWidth="1"/>
    <col min="145" max="146" width="11.42578125" bestFit="1" customWidth="1"/>
    <col min="147" max="163" width="12.5703125" bestFit="1" customWidth="1"/>
    <col min="164" max="164" width="11.42578125" bestFit="1" customWidth="1"/>
    <col min="165" max="175" width="12.5703125" bestFit="1" customWidth="1"/>
    <col min="176" max="176" width="11.42578125" bestFit="1" customWidth="1"/>
    <col min="177" max="178" width="12.5703125" bestFit="1" customWidth="1"/>
    <col min="179" max="179" width="3.28515625" bestFit="1" customWidth="1"/>
    <col min="180" max="180" width="11.42578125" bestFit="1" customWidth="1"/>
    <col min="181" max="182" width="12.5703125" bestFit="1" customWidth="1"/>
    <col min="183" max="183" width="3.28515625" bestFit="1" customWidth="1"/>
    <col min="184" max="190" width="12.5703125" bestFit="1" customWidth="1"/>
    <col min="191" max="191" width="21.85546875" bestFit="1" customWidth="1"/>
    <col min="192" max="195" width="12.5703125" bestFit="1" customWidth="1"/>
    <col min="196" max="196" width="11.42578125" bestFit="1" customWidth="1"/>
    <col min="197" max="217" width="12.5703125" bestFit="1" customWidth="1"/>
    <col min="218" max="218" width="11.42578125" bestFit="1" customWidth="1"/>
    <col min="219" max="219" width="8.28515625" bestFit="1" customWidth="1"/>
    <col min="220" max="224" width="12.5703125" bestFit="1" customWidth="1"/>
    <col min="225" max="226" width="11.42578125" bestFit="1" customWidth="1"/>
    <col min="227" max="263" width="12.5703125" bestFit="1" customWidth="1"/>
    <col min="264" max="265" width="11.42578125" bestFit="1" customWidth="1"/>
    <col min="266" max="266" width="12.5703125" bestFit="1" customWidth="1"/>
    <col min="267" max="267" width="5.140625" bestFit="1" customWidth="1"/>
    <col min="268" max="269" width="12.5703125" bestFit="1" customWidth="1"/>
    <col min="270" max="270" width="11.42578125" bestFit="1" customWidth="1"/>
    <col min="271" max="276" width="12.5703125" bestFit="1" customWidth="1"/>
    <col min="277" max="277" width="11.42578125" bestFit="1" customWidth="1"/>
    <col min="278" max="278" width="5.140625" bestFit="1" customWidth="1"/>
    <col min="279" max="282" width="12.5703125" bestFit="1" customWidth="1"/>
    <col min="283" max="283" width="11.42578125" bestFit="1" customWidth="1"/>
    <col min="284" max="296" width="12.5703125" bestFit="1" customWidth="1"/>
    <col min="297" max="297" width="11.42578125" bestFit="1" customWidth="1"/>
    <col min="298" max="299" width="12.5703125" bestFit="1" customWidth="1"/>
    <col min="300" max="300" width="11.42578125" bestFit="1" customWidth="1"/>
    <col min="301" max="333" width="12.5703125" bestFit="1" customWidth="1"/>
    <col min="334" max="335" width="11.42578125" bestFit="1" customWidth="1"/>
    <col min="336" max="352" width="12.5703125" bestFit="1" customWidth="1"/>
    <col min="353" max="353" width="11.42578125" bestFit="1" customWidth="1"/>
    <col min="354" max="364" width="12.5703125" bestFit="1" customWidth="1"/>
    <col min="365" max="365" width="11.42578125" bestFit="1" customWidth="1"/>
    <col min="366" max="367" width="12.5703125" bestFit="1" customWidth="1"/>
    <col min="368" max="368" width="3.28515625" bestFit="1" customWidth="1"/>
    <col min="369" max="369" width="11.42578125" bestFit="1" customWidth="1"/>
    <col min="370" max="371" width="12.5703125" bestFit="1" customWidth="1"/>
    <col min="372" max="372" width="3.28515625" bestFit="1" customWidth="1"/>
    <col min="373" max="379" width="12.5703125" bestFit="1" customWidth="1"/>
    <col min="380" max="380" width="31.42578125" bestFit="1" customWidth="1"/>
    <col min="381" max="381" width="27" bestFit="1" customWidth="1"/>
  </cols>
  <sheetData>
    <row r="2" spans="1:6" ht="15.75">
      <c r="A2" s="26" t="s">
        <v>767</v>
      </c>
      <c r="B2" s="9"/>
      <c r="C2" s="9"/>
      <c r="D2" s="9"/>
      <c r="E2" s="9"/>
      <c r="F2" s="9"/>
    </row>
    <row r="5" spans="1:6">
      <c r="A5" s="4" t="s">
        <v>607</v>
      </c>
      <c r="B5" t="s">
        <v>768</v>
      </c>
      <c r="C5" t="s">
        <v>769</v>
      </c>
    </row>
    <row r="6" spans="1:6">
      <c r="A6" t="s">
        <v>201</v>
      </c>
      <c r="B6" s="5">
        <v>62.182989503447459</v>
      </c>
      <c r="C6" s="5">
        <v>27</v>
      </c>
    </row>
    <row r="7" spans="1:6">
      <c r="A7" t="s">
        <v>205</v>
      </c>
      <c r="B7" s="5">
        <v>81.040702994166963</v>
      </c>
      <c r="C7" s="5">
        <v>51</v>
      </c>
    </row>
    <row r="8" spans="1:6">
      <c r="A8" t="s">
        <v>343</v>
      </c>
      <c r="B8" s="5">
        <v>64.770251654996912</v>
      </c>
      <c r="C8" s="5">
        <v>34</v>
      </c>
    </row>
    <row r="9" spans="1:6">
      <c r="A9" t="s">
        <v>612</v>
      </c>
      <c r="B9" s="5">
        <v>70.068157109876481</v>
      </c>
      <c r="C9" s="5">
        <v>22</v>
      </c>
    </row>
    <row r="10" spans="1:6">
      <c r="A10" t="s">
        <v>415</v>
      </c>
      <c r="B10" s="5">
        <v>90.671593843785587</v>
      </c>
      <c r="C10" s="5">
        <v>2</v>
      </c>
    </row>
    <row r="11" spans="1:6">
      <c r="A11" t="s">
        <v>483</v>
      </c>
      <c r="B11" s="5">
        <v>46.152200698333331</v>
      </c>
      <c r="C11" s="5">
        <v>6</v>
      </c>
    </row>
    <row r="12" spans="1:6">
      <c r="A12" t="s">
        <v>509</v>
      </c>
      <c r="B12" s="5">
        <v>27.19036851665502</v>
      </c>
      <c r="C12" s="5">
        <v>47</v>
      </c>
    </row>
    <row r="13" spans="1:6">
      <c r="A13" t="s">
        <v>770</v>
      </c>
      <c r="B13" s="5">
        <v>59.745546529857812</v>
      </c>
      <c r="C13" s="5">
        <v>189</v>
      </c>
    </row>
    <row r="16" spans="1:6">
      <c r="A16" s="6" t="s">
        <v>771</v>
      </c>
    </row>
    <row r="17" spans="1:6">
      <c r="A17" s="8" t="s">
        <v>772</v>
      </c>
      <c r="B17" s="7"/>
      <c r="C17" s="7"/>
      <c r="D17" s="7"/>
      <c r="E17" s="7"/>
      <c r="F17" s="7"/>
    </row>
    <row r="18" spans="1:6">
      <c r="A18" s="10" t="s">
        <v>773</v>
      </c>
      <c r="B18" s="11"/>
      <c r="C18" s="11"/>
      <c r="D18" s="11"/>
      <c r="E18" s="11"/>
      <c r="F18" s="11"/>
    </row>
    <row r="19" spans="1:6">
      <c r="A19" s="11"/>
      <c r="B19" s="11"/>
      <c r="C19" s="11"/>
      <c r="D19" s="11"/>
      <c r="E19" s="11"/>
      <c r="F19" s="11"/>
    </row>
    <row r="20" spans="1:6">
      <c r="A20" s="12" t="s">
        <v>774</v>
      </c>
      <c r="B20" s="13"/>
      <c r="C20" s="13"/>
      <c r="D20" s="13"/>
      <c r="E20" s="13"/>
      <c r="F20" s="13"/>
    </row>
    <row r="21" spans="1:6">
      <c r="A21" s="13"/>
      <c r="B21" s="13"/>
      <c r="C21" s="13"/>
      <c r="D21" s="13"/>
      <c r="E21" s="13"/>
      <c r="F21" s="13"/>
    </row>
    <row r="23" spans="1:6" ht="15.75" customHeight="1">
      <c r="A23" s="15" t="s">
        <v>775</v>
      </c>
      <c r="B23" s="14"/>
      <c r="C23" s="14"/>
      <c r="D23" s="14"/>
    </row>
    <row r="25" spans="1:6">
      <c r="A25" s="4" t="s">
        <v>607</v>
      </c>
      <c r="B25" t="s">
        <v>776</v>
      </c>
      <c r="C25" t="s">
        <v>777</v>
      </c>
      <c r="D25" t="s">
        <v>768</v>
      </c>
    </row>
    <row r="26" spans="1:6">
      <c r="A26" t="s">
        <v>201</v>
      </c>
      <c r="B26" s="5">
        <v>13.62419987</v>
      </c>
      <c r="C26" s="5">
        <v>96.157579184238998</v>
      </c>
      <c r="D26" s="5">
        <v>62.182989503447459</v>
      </c>
    </row>
    <row r="27" spans="1:6">
      <c r="A27" t="s">
        <v>205</v>
      </c>
      <c r="B27" s="5">
        <v>22.686300280000001</v>
      </c>
      <c r="C27" s="5">
        <v>99.504941169378696</v>
      </c>
      <c r="D27" s="5">
        <v>81.040702994166963</v>
      </c>
    </row>
    <row r="28" spans="1:6">
      <c r="A28" t="s">
        <v>343</v>
      </c>
      <c r="B28" s="5">
        <v>35.764099119999997</v>
      </c>
      <c r="C28" s="5">
        <v>90.693298339999998</v>
      </c>
      <c r="D28" s="5">
        <v>64.770251654996912</v>
      </c>
    </row>
    <row r="29" spans="1:6">
      <c r="A29" t="s">
        <v>612</v>
      </c>
      <c r="B29" s="5">
        <v>17.070901719916002</v>
      </c>
      <c r="C29" s="5">
        <v>99.701504380777806</v>
      </c>
      <c r="D29" s="5">
        <v>70.068157109876481</v>
      </c>
    </row>
    <row r="30" spans="1:6">
      <c r="A30" t="s">
        <v>415</v>
      </c>
      <c r="B30" s="5">
        <v>89.430284857571195</v>
      </c>
      <c r="C30" s="5">
        <v>91.912902829999993</v>
      </c>
      <c r="D30" s="5">
        <v>90.671593843785587</v>
      </c>
    </row>
    <row r="31" spans="1:6">
      <c r="A31" t="s">
        <v>483</v>
      </c>
      <c r="B31" s="5">
        <v>29.523500439999999</v>
      </c>
      <c r="C31" s="5">
        <v>77.469703670000001</v>
      </c>
      <c r="D31" s="5">
        <v>46.152200698333331</v>
      </c>
    </row>
    <row r="32" spans="1:6">
      <c r="A32" t="s">
        <v>509</v>
      </c>
      <c r="B32" s="5">
        <v>2.731400013</v>
      </c>
      <c r="C32" s="5">
        <v>76.634201050000001</v>
      </c>
      <c r="D32" s="5">
        <v>27.19036851665502</v>
      </c>
    </row>
    <row r="33" spans="1:4">
      <c r="A33" t="s">
        <v>770</v>
      </c>
      <c r="B33" s="5">
        <v>2.731400013</v>
      </c>
      <c r="C33" s="5">
        <v>99.701504380777806</v>
      </c>
      <c r="D33" s="5">
        <v>59.745546529857812</v>
      </c>
    </row>
    <row r="36" spans="1:4">
      <c r="A36" s="17" t="s">
        <v>607</v>
      </c>
      <c r="B36" s="18" t="s">
        <v>776</v>
      </c>
      <c r="C36" s="18" t="s">
        <v>777</v>
      </c>
      <c r="D36" s="19" t="s">
        <v>778</v>
      </c>
    </row>
    <row r="37" spans="1:4">
      <c r="A37" s="20" t="s">
        <v>201</v>
      </c>
      <c r="B37" s="21">
        <v>13.62419987</v>
      </c>
      <c r="C37" s="21">
        <v>96.157579184238998</v>
      </c>
      <c r="D37" s="22">
        <f>C37-B37</f>
        <v>82.533379314238999</v>
      </c>
    </row>
    <row r="38" spans="1:4">
      <c r="A38" s="20" t="s">
        <v>205</v>
      </c>
      <c r="B38" s="21">
        <v>22.686300280000001</v>
      </c>
      <c r="C38" s="21">
        <v>99.504941169378696</v>
      </c>
      <c r="D38" s="22">
        <f t="shared" ref="D38:D43" si="0">C38-B38</f>
        <v>76.818640889378699</v>
      </c>
    </row>
    <row r="39" spans="1:4">
      <c r="A39" s="20" t="s">
        <v>343</v>
      </c>
      <c r="B39" s="21">
        <v>35.764099119999997</v>
      </c>
      <c r="C39" s="21">
        <v>90.693298339999998</v>
      </c>
      <c r="D39" s="22">
        <f t="shared" si="0"/>
        <v>54.929199220000001</v>
      </c>
    </row>
    <row r="40" spans="1:4">
      <c r="A40" s="20" t="s">
        <v>612</v>
      </c>
      <c r="B40" s="21">
        <v>17.070901719916002</v>
      </c>
      <c r="C40" s="21">
        <v>99.701504380777806</v>
      </c>
      <c r="D40" s="22">
        <f t="shared" si="0"/>
        <v>82.630602660861797</v>
      </c>
    </row>
    <row r="41" spans="1:4">
      <c r="A41" s="20" t="s">
        <v>415</v>
      </c>
      <c r="B41" s="21">
        <v>89.430284857571195</v>
      </c>
      <c r="C41" s="21">
        <v>91.912902829999993</v>
      </c>
      <c r="D41" s="22">
        <f t="shared" si="0"/>
        <v>2.4826179724287982</v>
      </c>
    </row>
    <row r="42" spans="1:4">
      <c r="A42" s="20" t="s">
        <v>483</v>
      </c>
      <c r="B42" s="21">
        <v>29.523500439999999</v>
      </c>
      <c r="C42" s="21">
        <v>77.469703670000001</v>
      </c>
      <c r="D42" s="22">
        <f t="shared" si="0"/>
        <v>47.946203230000002</v>
      </c>
    </row>
    <row r="43" spans="1:4">
      <c r="A43" s="23" t="s">
        <v>509</v>
      </c>
      <c r="B43" s="24">
        <v>2.731400013</v>
      </c>
      <c r="C43" s="24">
        <v>76.634201050000001</v>
      </c>
      <c r="D43" s="25">
        <f t="shared" si="0"/>
        <v>73.902801037000003</v>
      </c>
    </row>
    <row r="45" spans="1:4">
      <c r="A45" s="6" t="s">
        <v>771</v>
      </c>
    </row>
    <row r="46" spans="1:4">
      <c r="A46" s="12" t="s">
        <v>779</v>
      </c>
      <c r="B46" s="13"/>
      <c r="C46" s="13"/>
      <c r="D46" s="13"/>
    </row>
    <row r="47" spans="1:4">
      <c r="A47" s="13"/>
      <c r="B47" s="13"/>
      <c r="C47" s="13"/>
      <c r="D47" s="13"/>
    </row>
    <row r="48" spans="1:4" ht="15" customHeight="1">
      <c r="A48" s="10" t="s">
        <v>780</v>
      </c>
      <c r="B48" s="11"/>
      <c r="C48" s="11"/>
      <c r="D48" s="11"/>
    </row>
    <row r="49" spans="1:6">
      <c r="A49" s="11"/>
      <c r="B49" s="11"/>
      <c r="C49" s="11"/>
      <c r="D49" s="11"/>
    </row>
    <row r="50" spans="1:6">
      <c r="A50" s="11"/>
      <c r="B50" s="11"/>
      <c r="C50" s="11"/>
      <c r="D50" s="11"/>
    </row>
    <row r="51" spans="1:6">
      <c r="A51" s="10" t="s">
        <v>781</v>
      </c>
      <c r="B51" s="11"/>
      <c r="C51" s="11"/>
      <c r="D51" s="11"/>
      <c r="E51" s="11"/>
      <c r="F51" s="11"/>
    </row>
    <row r="52" spans="1:6">
      <c r="A52" s="11"/>
      <c r="B52" s="11"/>
      <c r="C52" s="11"/>
      <c r="D52" s="11"/>
      <c r="E52" s="11"/>
      <c r="F52" s="11"/>
    </row>
    <row r="53" spans="1:6">
      <c r="A53" s="27" t="s">
        <v>782</v>
      </c>
      <c r="B53" s="28"/>
      <c r="C53" s="28"/>
      <c r="D53" s="28"/>
      <c r="E53" s="28"/>
      <c r="F53" s="28"/>
    </row>
    <row r="54" spans="1:6">
      <c r="A54" s="28"/>
      <c r="B54" s="28"/>
      <c r="C54" s="28"/>
      <c r="D54" s="28"/>
      <c r="E54" s="28"/>
      <c r="F54" s="28"/>
    </row>
    <row r="56" spans="1:6" ht="15.75">
      <c r="A56" s="15" t="s">
        <v>783</v>
      </c>
      <c r="B56" s="9"/>
      <c r="C56" s="9"/>
      <c r="D56" s="9"/>
    </row>
    <row r="58" spans="1:6">
      <c r="A58" s="4" t="s">
        <v>607</v>
      </c>
      <c r="B58" s="4" t="s">
        <v>3</v>
      </c>
      <c r="C58" t="s">
        <v>768</v>
      </c>
    </row>
    <row r="59" spans="1:6">
      <c r="A59" t="s">
        <v>483</v>
      </c>
      <c r="B59" t="s">
        <v>379</v>
      </c>
      <c r="C59" s="5">
        <v>77.469703670000001</v>
      </c>
    </row>
    <row r="60" spans="1:6">
      <c r="B60" t="s">
        <v>139</v>
      </c>
      <c r="C60" s="5">
        <v>74.17939758</v>
      </c>
    </row>
    <row r="61" spans="1:6">
      <c r="B61" t="s">
        <v>431</v>
      </c>
      <c r="C61" s="5">
        <v>33.336601260000002</v>
      </c>
    </row>
    <row r="62" spans="1:6">
      <c r="B62" t="s">
        <v>351</v>
      </c>
      <c r="C62" s="5">
        <v>32.020900730000001</v>
      </c>
    </row>
    <row r="63" spans="1:6">
      <c r="B63" t="s">
        <v>115</v>
      </c>
      <c r="C63" s="5">
        <v>30.383100509999998</v>
      </c>
    </row>
    <row r="64" spans="1:6">
      <c r="B64" t="s">
        <v>293</v>
      </c>
      <c r="C64" s="5">
        <v>29.523500439999999</v>
      </c>
    </row>
    <row r="65" spans="1:6">
      <c r="A65" t="s">
        <v>784</v>
      </c>
      <c r="C65" s="5">
        <v>46.152200698333331</v>
      </c>
    </row>
    <row r="66" spans="1:6">
      <c r="A66" t="s">
        <v>770</v>
      </c>
      <c r="C66" s="5">
        <v>46.152200698333331</v>
      </c>
    </row>
    <row r="68" spans="1:6">
      <c r="A68" s="6" t="s">
        <v>771</v>
      </c>
    </row>
    <row r="69" spans="1:6">
      <c r="A69" s="8" t="s">
        <v>785</v>
      </c>
      <c r="B69" s="7"/>
      <c r="C69" s="7"/>
      <c r="D69" s="7"/>
      <c r="E69" s="7"/>
      <c r="F69" s="7"/>
    </row>
    <row r="70" spans="1:6">
      <c r="A70" s="12" t="s">
        <v>786</v>
      </c>
      <c r="B70" s="13"/>
      <c r="C70" s="13"/>
      <c r="D70" s="13"/>
      <c r="E70" s="13"/>
      <c r="F70" s="13"/>
    </row>
    <row r="71" spans="1:6">
      <c r="A71" s="13"/>
      <c r="B71" s="13"/>
      <c r="C71" s="13"/>
      <c r="D71" s="13"/>
      <c r="E71" s="13"/>
      <c r="F71" s="13"/>
    </row>
    <row r="72" spans="1:6">
      <c r="A72" s="10" t="s">
        <v>787</v>
      </c>
      <c r="B72" s="11"/>
      <c r="C72" s="11"/>
      <c r="D72" s="11"/>
      <c r="E72" s="11"/>
      <c r="F72" s="11"/>
    </row>
    <row r="73" spans="1:6">
      <c r="A73" s="11"/>
      <c r="B73" s="11"/>
      <c r="C73" s="11"/>
      <c r="D73" s="11"/>
      <c r="E73" s="11"/>
      <c r="F73" s="11"/>
    </row>
  </sheetData>
  <mergeCells count="8">
    <mergeCell ref="A51:F52"/>
    <mergeCell ref="A53:F54"/>
    <mergeCell ref="A70:F71"/>
    <mergeCell ref="A72:F73"/>
    <mergeCell ref="A18:F19"/>
    <mergeCell ref="A20:F21"/>
    <mergeCell ref="A46:D47"/>
    <mergeCell ref="A48:D50"/>
  </mergeCell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Shakil Ndc</cp:lastModifiedBy>
  <cp:revision/>
  <dcterms:created xsi:type="dcterms:W3CDTF">2026-10-20T06:35:22Z</dcterms:created>
  <dcterms:modified xsi:type="dcterms:W3CDTF">2026-10-20T18:42:22Z</dcterms:modified>
  <cp:category/>
  <cp:contentStatus/>
</cp:coreProperties>
</file>