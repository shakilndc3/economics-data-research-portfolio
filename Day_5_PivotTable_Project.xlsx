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hidePivotFieldList="1" defaultThemeVersion="166925"/>
  <mc:AlternateContent xmlns:mc="http://schemas.openxmlformats.org/markup-compatibility/2006">
    <mc:Choice Requires="x15">
      <x15ac:absPath xmlns:x15ac="http://schemas.microsoft.com/office/spreadsheetml/2010/11/ac" url="D:\working\waccache\SG2PEPF000E4FA4\EXCELCNV\1cbdd7c7-e5a3-4c6d-b771-f891313a0398\"/>
    </mc:Choice>
  </mc:AlternateContent>
  <xr:revisionPtr revIDLastSave="1324" documentId="8_{BC3B4247-2E4E-4432-B1ED-0B49AA8D8100}" xr6:coauthVersionLast="47" xr6:coauthVersionMax="47" xr10:uidLastSave="{E7D9E56B-24AF-4C2D-A42D-D5D22844F9EE}"/>
  <bookViews>
    <workbookView xWindow="-60" yWindow="-60" windowWidth="15480" windowHeight="11640" firstSheet="6" activeTab="6" xr2:uid="{612CD5F7-FAF1-4153-9505-E5C614A077CE}"/>
  </bookViews>
  <sheets>
    <sheet name="Raw_Data" sheetId="1" r:id="rId1"/>
    <sheet name="Day3_Practice" sheetId="2" r:id="rId2"/>
    <sheet name="Day3_Summary" sheetId="3" r:id="rId3"/>
    <sheet name="DATA" sheetId="4" r:id="rId4"/>
    <sheet name="ANALYSIS" sheetId="5" r:id="rId5"/>
    <sheet name="Day5_Data" sheetId="6" r:id="rId6"/>
    <sheet name="Pivot_Analysis" sheetId="7" r:id="rId7"/>
  </sheets>
  <definedNames>
    <definedName name="_xlnm._FilterDatabase" localSheetId="5" hidden="1">Day5_Data!$A$1:$C$21</definedName>
  </definedNames>
  <calcPr calcId="191028" calcCompleted="0"/>
  <pivotCaches>
    <pivotCache cacheId="28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4" l="1"/>
  <c r="C6" i="5"/>
  <c r="C3" i="5"/>
  <c r="C8" i="5"/>
  <c r="C7" i="5"/>
  <c r="C5" i="5"/>
  <c r="C4" i="5"/>
  <c r="M42" i="4"/>
  <c r="M40" i="4" a="1"/>
  <c r="M39" i="4" a="1"/>
  <c r="M38" i="4" a="1"/>
  <c r="M36" i="4"/>
  <c r="F42" i="4"/>
  <c r="F41" i="4"/>
  <c r="F39" i="4"/>
  <c r="F36" i="4"/>
  <c r="M27" i="4"/>
  <c r="M25" i="4"/>
  <c r="M23" i="4"/>
  <c r="M20" i="4"/>
  <c r="M11" i="4"/>
  <c r="M7" i="4"/>
  <c r="M6" i="4"/>
  <c r="M5" i="4"/>
  <c r="F26" i="4"/>
  <c r="F24" i="4"/>
  <c r="F22" i="4"/>
  <c r="F20" i="4"/>
  <c r="F19" i="4"/>
  <c r="B7" i="3"/>
  <c r="B6" i="3"/>
  <c r="B5" i="3"/>
  <c r="B4" i="3"/>
  <c r="B3" i="3"/>
  <c r="B2" i="3"/>
  <c r="E3" i="2"/>
  <c r="E4" i="2"/>
  <c r="E5" i="2"/>
  <c r="E6" i="2"/>
  <c r="E7" i="2"/>
  <c r="E8" i="2"/>
  <c r="E9" i="2"/>
  <c r="E10" i="2"/>
  <c r="E11" i="2"/>
  <c r="E12" i="2"/>
  <c r="E13" i="2"/>
  <c r="E2" i="2"/>
  <c r="I5" i="2"/>
  <c r="I9" i="2"/>
  <c r="I8" i="2"/>
  <c r="I7" i="2"/>
  <c r="I6" i="2"/>
  <c r="I4" i="2"/>
  <c r="A20" i="1"/>
  <c r="A19" i="1"/>
  <c r="A18" i="1"/>
  <c r="A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<sst xmlns="http://schemas.openxmlformats.org/spreadsheetml/2006/main" count="368" uniqueCount="221">
  <si>
    <t>Illustrative Area</t>
  </si>
  <si>
    <t>Year</t>
  </si>
  <si>
    <t>Internet Access (%)</t>
  </si>
  <si>
    <t>Fixed Broadband Subscriptions (per 100 people)</t>
  </si>
  <si>
    <t>Mobile Internet Use (%)</t>
  </si>
  <si>
    <t>Households Using Digital Services (%)</t>
  </si>
  <si>
    <t>Column1</t>
  </si>
  <si>
    <t>Central Sample</t>
  </si>
  <si>
    <t>hjpj,</t>
  </si>
  <si>
    <t>North Sample</t>
  </si>
  <si>
    <t>River Sample</t>
  </si>
  <si>
    <t>Coastal Sample</t>
  </si>
  <si>
    <t>DATA STATUS:</t>
  </si>
  <si>
    <t>SYNTHETIC / ILLUSTRATIVE — NOT OFFICIAL DATA</t>
  </si>
  <si>
    <t>formulas</t>
  </si>
  <si>
    <t>Number of nonblank area labels</t>
  </si>
  <si>
    <t>Number of numeric years</t>
  </si>
  <si>
    <t>Minimum access value</t>
  </si>
  <si>
    <t>Maximum access value</t>
  </si>
  <si>
    <t>Household_ID</t>
  </si>
  <si>
    <t>Monthly_Income_BDT</t>
  </si>
  <si>
    <t>Internet_Hours_Weekly</t>
  </si>
  <si>
    <t>Internet_Expense_BDT</t>
  </si>
  <si>
    <t>Income_Category</t>
  </si>
  <si>
    <t>H001</t>
  </si>
  <si>
    <t>H002</t>
  </si>
  <si>
    <t>Functions</t>
  </si>
  <si>
    <t>Result</t>
  </si>
  <si>
    <t>Purpose</t>
  </si>
  <si>
    <t>H003</t>
  </si>
  <si>
    <t>SUM</t>
  </si>
  <si>
    <t>Add all numerical values together.</t>
  </si>
  <si>
    <t>H004</t>
  </si>
  <si>
    <t>AVERAGE</t>
  </si>
  <si>
    <t>Calculate the arithmetic mean.</t>
  </si>
  <si>
    <t>H005</t>
  </si>
  <si>
    <t>COUNT</t>
  </si>
  <si>
    <t>Count cells containing numerical values.</t>
  </si>
  <si>
    <t>H006</t>
  </si>
  <si>
    <t>MIN</t>
  </si>
  <si>
    <t>Find the smallest numerical value.</t>
  </si>
  <si>
    <t>H007</t>
  </si>
  <si>
    <t>MAX</t>
  </si>
  <si>
    <t>Find the largest numerical value.</t>
  </si>
  <si>
    <t>H008</t>
  </si>
  <si>
    <t>MEDIAN</t>
  </si>
  <si>
    <t>Find the middle value after sorting the observations.</t>
  </si>
  <si>
    <t>H009</t>
  </si>
  <si>
    <t>H010</t>
  </si>
  <si>
    <t>The above functions are applied to the Column of Monthly_Income_BDT (cell B2 to B13) to generate different types of results. Similarly, we can apply these functions in other numerical cells to interpret various outcomes.</t>
  </si>
  <si>
    <t>H011</t>
  </si>
  <si>
    <t>H012</t>
  </si>
  <si>
    <t>IF Function</t>
  </si>
  <si>
    <t>The IF function allows Excel to make a decision based on a condition.</t>
  </si>
  <si>
    <t>For example, suppose we want to classify households according to whether their monthly income is at least BDT 30,000.</t>
  </si>
  <si>
    <t>Note: Synthetic practice data</t>
  </si>
  <si>
    <t>=IF(condition, value_if_true, value_if_false)</t>
  </si>
  <si>
    <t>=IF(B2&gt;=30000,"At/above 30,000","Below 30,000")</t>
  </si>
  <si>
    <t>Result:</t>
  </si>
  <si>
    <t>The If function is applied to the cells from E2 to E13 under the Column 'Income_Category'. It represents the households whose income are below or at/above BDT 30000.</t>
  </si>
  <si>
    <t>Statistic</t>
  </si>
  <si>
    <t>Total household income</t>
  </si>
  <si>
    <t>Mean income</t>
  </si>
  <si>
    <t>Number of households</t>
  </si>
  <si>
    <t>MInimum income</t>
  </si>
  <si>
    <t>Maximun income</t>
  </si>
  <si>
    <t>Median income</t>
  </si>
  <si>
    <t>Interpretation:</t>
  </si>
  <si>
    <t>The practice dataset contains 12 fictional households. Their combined monthly income is BDT 367,000. Mean monthly income is approximately BDT 30,583, while median income is BDT 29,000. The lowest recorded income is BDT 15,000 and the highest is BDT 52,000. The difference between the mean and median indicates that the distribution's centre differs depending on the measure used. However, this small, fictional dataset cannot support conclusions about the income distribution of Bangladesh.</t>
  </si>
  <si>
    <t>Question 1: What does the range between the minimum and maximum tell you?</t>
  </si>
  <si>
    <r>
      <rPr>
        <b/>
        <sz val="11"/>
        <color rgb="FF000000"/>
        <rFont val="Calibri"/>
        <scheme val="minor"/>
      </rPr>
      <t>Answer:</t>
    </r>
    <r>
      <rPr>
        <sz val="11"/>
        <color rgb="FF000000"/>
        <rFont val="Calibri"/>
        <scheme val="minor"/>
      </rPr>
      <t xml:space="preserve"> The range of monthly income is BDT 37,000, calculated as the difference between the maximum income of BDT 52,000 and the minimum income of BDT 15,000. This indicates considerable variation between the lowest- and highest-income households in this practice dataset. However, the range alone is insufficient to determine the overall level of income inequality because it does not describe how income is distributed among all households.</t>
    </r>
  </si>
  <si>
    <t>Question 2: Why are these results insufficient to estimate income inequality in Bangladesh?</t>
  </si>
  <si>
    <r>
      <rPr>
        <b/>
        <sz val="11"/>
        <color rgb="FF000000"/>
        <rFont val="Calibri"/>
        <scheme val="minor"/>
      </rPr>
      <t>Answer:</t>
    </r>
    <r>
      <rPr>
        <sz val="11"/>
        <color rgb="FF000000"/>
        <rFont val="Calibri"/>
        <scheme val="minor"/>
      </rPr>
      <t xml:space="preserve"> These results are insufficient to estimate income inequality in Bangladesh because the dataset is synthetic, contains only 12 fictional household observations, and is not representative of the country's population. Although the calculations demonstrate how to analyse income data, they cannot support conclusions about actual household income or national income inequality. A credible national estimate would require suitable real-world data and an appropriate sampling or survey design, along with measures such as the Gini coefficient or the Lorenz curve.</t>
    </r>
  </si>
  <si>
    <t>ID</t>
  </si>
  <si>
    <t>Region</t>
  </si>
  <si>
    <t>Internet Users</t>
  </si>
  <si>
    <t>Monthly Income (BDT)</t>
  </si>
  <si>
    <t>Internet Access</t>
  </si>
  <si>
    <t>Conditional Formula</t>
  </si>
  <si>
    <t>Dhaka</t>
  </si>
  <si>
    <t>Yes</t>
  </si>
  <si>
    <t>SUMIF</t>
  </si>
  <si>
    <t>=SUMIF(criteria_range, criteria, sum_range)</t>
  </si>
  <si>
    <t>Add values only when a condition is met.</t>
  </si>
  <si>
    <t>Chattogram</t>
  </si>
  <si>
    <t>Rajshahi</t>
  </si>
  <si>
    <t>No</t>
  </si>
  <si>
    <t xml:space="preserve">Exercise Questions	</t>
  </si>
  <si>
    <t>Formula</t>
  </si>
  <si>
    <t>Total income in Dhaka</t>
  </si>
  <si>
    <t>=SUMIF(b2:b11,"Dhaka",d2:d11)</t>
  </si>
  <si>
    <t>Khulna</t>
  </si>
  <si>
    <t>Total income in Chattogram</t>
  </si>
  <si>
    <t>=SUMIF(B2:B11,"Chattogram",D2:D11)</t>
  </si>
  <si>
    <t>Total income for records with access</t>
  </si>
  <si>
    <t>=SUMIF(E2:E11,"Yes",D2:D11)</t>
  </si>
  <si>
    <t>Total income above BDT 25,000</t>
  </si>
  <si>
    <t>=SUMIF(D2:D11,"&gt;25000")</t>
  </si>
  <si>
    <t>total Internet Users for Dhaka</t>
  </si>
  <si>
    <t>=SUMIF(B2:B11,"Dhaka",C2:C11)</t>
  </si>
  <si>
    <t>COUNTIF</t>
  </si>
  <si>
    <t>=COUNTIF(range, criteria)</t>
  </si>
  <si>
    <t>Count how many cells meet one condition.</t>
  </si>
  <si>
    <t>COUNTIFS</t>
  </si>
  <si>
    <t>=COUNTIFS(criteria_range1, criteria1,criteria_range2, criteria2)</t>
  </si>
  <si>
    <t>Count records that satisfy two or more conditions simultaneously.</t>
  </si>
  <si>
    <t>Exercise Questions</t>
  </si>
  <si>
    <t>How many Dhaka Records?</t>
  </si>
  <si>
    <t>=COUNTIF(B2:B11,"Dhaka")</t>
  </si>
  <si>
    <t>How many people have internet access?</t>
  </si>
  <si>
    <t>=COUNTIF(E2:E11,"Yes")</t>
  </si>
  <si>
    <t>count people who:
- live in Chattogram, and
- have internet access.</t>
  </si>
  <si>
    <t>=COUNTIFS(B2:B11,"Chattogram",E2:E11,"Yes")</t>
  </si>
  <si>
    <t>How many income values exceed 25000?</t>
  </si>
  <si>
    <t>=COUNTIF(D2:D11,"&gt;25000")</t>
  </si>
  <si>
    <t>Dhaka records with internet access</t>
  </si>
  <si>
    <t>=COUNTIFS(B2:B11,"Dhaka",E2:E11,"Yes")</t>
  </si>
  <si>
    <t>How many records have no internet access?</t>
  </si>
  <si>
    <t>=COUNTIF(E2:E11,"No")</t>
  </si>
  <si>
    <t>Records with income above 20000 and access</t>
  </si>
  <si>
    <t>=COUNTIFS(D2:D11,"&gt;20000",E2:E11,"Yes")</t>
  </si>
  <si>
    <t>How many people have monthly income below BDT 20,000?</t>
  </si>
  <si>
    <t>=COUNTIF(d2:d10,"&lt;20000")</t>
  </si>
  <si>
    <t>Rajshahi records without access</t>
  </si>
  <si>
    <t>=COUNTIFS(B2:B11,"Rajshahi",E2:E11,"No")</t>
  </si>
  <si>
    <t>SUMIFS</t>
  </si>
  <si>
    <t>=SUMIFS(sum_range, criteria_range1, criteria1,criteria_range2, criteria2)</t>
  </si>
  <si>
    <t>Add values only when multiple conditions are satisfied.</t>
  </si>
  <si>
    <t>XLOOKUP</t>
  </si>
  <si>
    <t>=XLOOKUP(lookup_value,lookup_array,return_array, [if_not_found])</t>
  </si>
  <si>
    <t>Find an ID or other identifier and return a related value from another column.</t>
  </si>
  <si>
    <t>total monthly income of Chattogram records with internet access.</t>
  </si>
  <si>
    <t>=SUMIFS(D2:D11,B2:B11,"Chattogram",E2:E11,"Yes")</t>
  </si>
  <si>
    <t>Income associated with ID 104</t>
  </si>
  <si>
    <t>=XLOOKUP(104,A2:A11,D2:D11,"Not Found")</t>
  </si>
  <si>
    <t>Find income for ID 101</t>
  </si>
  <si>
    <t>=XLOOKUP(101,A2:A11,D2:D11,Null)</t>
  </si>
  <si>
    <t>Income in Dhaka with internet access</t>
  </si>
  <si>
    <t>=SUMIFS(D2:D11,B2:B11,"Dhaka",E2:E11,"Yes")</t>
  </si>
  <si>
    <t>Find region for ID 106</t>
  </si>
  <si>
    <t>=XLOOKUP(106,A2:A11,B2:B11,Null)</t>
  </si>
  <si>
    <t>Find internet-access status for ID 107</t>
  </si>
  <si>
    <t>=XLOOKUP(107,A2:A11,E2:E11,Null)</t>
  </si>
  <si>
    <t>Income in Khulna without internet access</t>
  </si>
  <si>
    <t>=SUMIFS(D2:D11,B2:B11,"Khulna",E2:E11,"No")</t>
  </si>
  <si>
    <t>Internet Users in Chattogram with access</t>
  </si>
  <si>
    <t>=SUMIFS(C2:C11,B2:B11,"Chattogram",E2:E11,"Yes")</t>
  </si>
  <si>
    <t>Search for nonexistent ID 999</t>
  </si>
  <si>
    <t>=XLOOKUP(999,A2:A11,D2:D11,"Not Found")</t>
  </si>
  <si>
    <t>Conditional Analysis of a Fictional Digital Connectivity Dataset</t>
  </si>
  <si>
    <t>Analysis Question</t>
  </si>
  <si>
    <t>Number of records in Dhaka</t>
  </si>
  <si>
    <t>=COUNTIF(DATA!B2:B11,"Dhaka")</t>
  </si>
  <si>
    <t>=SUMIF(DATA!B2:B11,"Dhaka",DATA!D2:D11)</t>
  </si>
  <si>
    <t>Number of Chattogram records with access</t>
  </si>
  <si>
    <t>=COUNTIFS(DATA!B2:B11,"Chattogram",DATA!E2:E11,"Yes")</t>
  </si>
  <si>
    <t>Total income in Chattogram with access</t>
  </si>
  <si>
    <t>=SUMIFS(DATA!D2:D11,DATA!B2:B11,"Chattogram",DATA!E2:E11,"Yes")</t>
  </si>
  <si>
    <t>=XLOOKUP(104,DATA!A2:A11,DATA!D2:D11)</t>
  </si>
  <si>
    <t>Total internet users in Dhaka</t>
  </si>
  <si>
    <t>=SUMIF(DATA!B2:B11,"Dhaka",DATA!C2:C11)</t>
  </si>
  <si>
    <t>NOTES — What I Learned</t>
  </si>
  <si>
    <t>Today I learned to use COUNTIF and SUMIF for calculations based on one condition, COUNTIFS and SUMIFS for multiple conditions, and XLOOKUP to retrieve related information using an ID. I practised analysing regional income, internet users, and internet-access records, and learned to organise results separately from raw data. These skills will support future statistical analysis and research projects.
Note: This is synthetic practice data, not official Bangladesh statistics.</t>
  </si>
  <si>
    <t>Customer_ID</t>
  </si>
  <si>
    <t>Plan</t>
  </si>
  <si>
    <t>Monthly_Bill_BDT</t>
  </si>
  <si>
    <t>Monthly_Data_GB</t>
  </si>
  <si>
    <t>Status</t>
  </si>
  <si>
    <t>Acquisition_Channel</t>
  </si>
  <si>
    <t>C001</t>
  </si>
  <si>
    <t>Basic</t>
  </si>
  <si>
    <t>Active</t>
  </si>
  <si>
    <t>Referral</t>
  </si>
  <si>
    <t>C002</t>
  </si>
  <si>
    <t>Standard</t>
  </si>
  <si>
    <t>Facebook</t>
  </si>
  <si>
    <t>C003</t>
  </si>
  <si>
    <t>Premium</t>
  </si>
  <si>
    <t>C004</t>
  </si>
  <si>
    <t>Cancelled</t>
  </si>
  <si>
    <t>Walk-in</t>
  </si>
  <si>
    <t>C005</t>
  </si>
  <si>
    <t>C006</t>
  </si>
  <si>
    <t>C007</t>
  </si>
  <si>
    <t>C008</t>
  </si>
  <si>
    <t>C009</t>
  </si>
  <si>
    <t>C010</t>
  </si>
  <si>
    <t>C011</t>
  </si>
  <si>
    <t>C012</t>
  </si>
  <si>
    <t>C013</t>
  </si>
  <si>
    <t>C014</t>
  </si>
  <si>
    <t>C015</t>
  </si>
  <si>
    <t>C016</t>
  </si>
  <si>
    <t>C017</t>
  </si>
  <si>
    <t>C018</t>
  </si>
  <si>
    <t>C019</t>
  </si>
  <si>
    <t>C020</t>
  </si>
  <si>
    <t>Customer Analysis</t>
  </si>
  <si>
    <t>Section 1 - Customer status by region</t>
  </si>
  <si>
    <r>
      <rPr>
        <b/>
        <sz val="12"/>
        <color rgb="FF000000"/>
        <rFont val="Calibri"/>
      </rPr>
      <t>Research/Business Question</t>
    </r>
    <r>
      <rPr>
        <sz val="12"/>
        <color rgb="FF000000"/>
        <rFont val="Calibri"/>
      </rPr>
      <t>: How many customers are Active and Cancelled in each region?</t>
    </r>
  </si>
  <si>
    <t>Purpose: Compare customer status across region.</t>
  </si>
  <si>
    <t>Count of Customer_ID</t>
  </si>
  <si>
    <t>Grand Total</t>
  </si>
  <si>
    <t>Interpretation</t>
  </si>
  <si>
    <r>
      <rPr>
        <b/>
        <sz val="11"/>
        <color rgb="FF000000"/>
        <rFont val="Calibri"/>
        <scheme val="minor"/>
      </rPr>
      <t>Finding:</t>
    </r>
    <r>
      <rPr>
        <sz val="11"/>
        <color rgb="FF000000"/>
        <rFont val="Calibri"/>
        <scheme val="minor"/>
      </rPr>
      <t xml:space="preserve"> Dhaka has the highest total number of customers, while Dhaka and Khulna have the highest numbers of cancelled customers in the practice dataset.</t>
    </r>
  </si>
  <si>
    <r>
      <rPr>
        <b/>
        <sz val="11"/>
        <color rgb="FF000000"/>
        <rFont val="Calibri"/>
        <scheme val="minor"/>
      </rPr>
      <t>Interpretation</t>
    </r>
    <r>
      <rPr>
        <sz val="11"/>
        <color rgb="FF000000"/>
        <rFont val="Calibri"/>
        <scheme val="minor"/>
      </rPr>
      <t>: Customer distribution and cancellations vary across regions.</t>
    </r>
  </si>
  <si>
    <r>
      <rPr>
        <b/>
        <sz val="11"/>
        <color rgb="FF000000"/>
        <rFont val="Calibri"/>
        <scheme val="minor"/>
      </rPr>
      <t>Limitation:</t>
    </r>
    <r>
      <rPr>
        <sz val="11"/>
        <color rgb="FF000000"/>
        <rFont val="Calibri"/>
        <scheme val="minor"/>
      </rPr>
      <t xml:space="preserve"> These counts alone do not explain why customers cancelled or establish actual regional ISP performance.</t>
    </r>
  </si>
  <si>
    <t>Section 2 - Monthly bill value by plan</t>
  </si>
  <si>
    <r>
      <rPr>
        <b/>
        <sz val="12"/>
        <color rgb="FF000000"/>
        <rFont val="Calibri"/>
        <scheme val="minor"/>
      </rPr>
      <t>Research/Business Question</t>
    </r>
    <r>
      <rPr>
        <sz val="12"/>
        <color rgb="FF000000"/>
        <rFont val="Calibri"/>
        <scheme val="minor"/>
      </rPr>
      <t>: Which plan has the highest total monthly bill value?</t>
    </r>
  </si>
  <si>
    <t>Purpose: Compare the total bill value and customer count across plans.</t>
  </si>
  <si>
    <t>Sum of Monthly_Bill_BDT</t>
  </si>
  <si>
    <r>
      <rPr>
        <b/>
        <sz val="11"/>
        <color rgb="FF000000"/>
        <rFont val="Calibri"/>
        <scheme val="minor"/>
      </rPr>
      <t>Finding:</t>
    </r>
    <r>
      <rPr>
        <sz val="11"/>
        <color rgb="FF000000"/>
        <rFont val="Calibri"/>
        <scheme val="minor"/>
      </rPr>
      <t xml:space="preserve"> The Premium plan has the highest total monthly bill value, at BDT 9,000, despite having six customers compared with seven each for Basic and Standard.</t>
    </r>
  </si>
  <si>
    <r>
      <rPr>
        <b/>
        <sz val="11"/>
        <color rgb="FF000000"/>
        <rFont val="Calibri"/>
        <scheme val="minor"/>
      </rPr>
      <t>Interpretation</t>
    </r>
    <r>
      <rPr>
        <sz val="11"/>
        <color rgb="FF000000"/>
        <rFont val="Calibri"/>
        <scheme val="minor"/>
      </rPr>
      <t>: The Premium plan's higher monthly bill per customer results in a larger total bill value in this practice dataset.</t>
    </r>
  </si>
  <si>
    <r>
      <rPr>
        <b/>
        <sz val="11"/>
        <color rgb="FF000000"/>
        <rFont val="Calibri"/>
        <scheme val="minor"/>
      </rPr>
      <t>Limitation:</t>
    </r>
    <r>
      <rPr>
        <sz val="11"/>
        <color rgb="FF000000"/>
        <rFont val="Calibri"/>
        <scheme val="minor"/>
      </rPr>
      <t xml:space="preserve"> Total bill value is not the same as profit. The data do not include operating costs, discounts, collection failures, or actual business records.</t>
    </r>
  </si>
  <si>
    <t>Section 3 - Acquisition channel</t>
  </si>
  <si>
    <r>
      <rPr>
        <b/>
        <sz val="12"/>
        <color rgb="FF000000"/>
        <rFont val="Calibri"/>
      </rPr>
      <t>Research/Business Question</t>
    </r>
    <r>
      <rPr>
        <sz val="12"/>
        <color rgb="FF000000"/>
        <rFont val="Calibri"/>
      </rPr>
      <t>: Which acquisition channel has the highest average monthly bill?</t>
    </r>
  </si>
  <si>
    <t>Purpose: Compare average bill value and customer count by channel.</t>
  </si>
  <si>
    <t>Average of Monthly_Bill_BDT</t>
  </si>
  <si>
    <r>
      <rPr>
        <b/>
        <sz val="11"/>
        <color rgb="FF000000"/>
        <rFont val="Calibri"/>
      </rPr>
      <t>Finding:</t>
    </r>
    <r>
      <rPr>
        <sz val="11"/>
        <color rgb="FF000000"/>
        <rFont val="Calibri"/>
      </rPr>
      <t xml:space="preserve"> Referral has the highest average monthly bill, approximately BDT 1,128.57 per customer, followed by Walk-in at BDT 1,100 and Facebook at BDT 1,014.29.</t>
    </r>
  </si>
  <si>
    <r>
      <rPr>
        <b/>
        <sz val="11"/>
        <color rgb="FF000000"/>
        <rFont val="Calibri"/>
      </rPr>
      <t>Interpretation</t>
    </r>
    <r>
      <rPr>
        <sz val="11"/>
        <color rgb="FF000000"/>
        <rFont val="Calibri"/>
      </rPr>
      <t>: In this practice dataset, customers acquired through referrals have a higher average monthly bill than customers acquired through the other two channels.</t>
    </r>
  </si>
  <si>
    <r>
      <rPr>
        <b/>
        <sz val="11"/>
        <color rgb="FF000000"/>
        <rFont val="Calibri"/>
        <scheme val="minor"/>
      </rPr>
      <t xml:space="preserve">Limitation: </t>
    </r>
    <r>
      <rPr>
        <sz val="11"/>
        <color rgb="FF000000"/>
        <rFont val="Calibri"/>
        <scheme val="minor"/>
      </rPr>
      <t>The sample is small and fictional. These averages do not establish which channel is most profitable, has the lowest acquisition cost, or retains customers longer.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</si>
</sst>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BDT]\ #,##0"/>
    <numFmt numFmtId="166" formatCode="[$BDT]\ #,##0.00"/>
  </numFmts>
  <fonts count="3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ont>
    <font>
      <b/>
      <sz val="11"/>
      <color rgb="FF9C0006"/>
      <name val="Calibri"/>
    </font>
    <font>
      <b/>
      <sz val="12"/>
      <color theme="1"/>
      <name val="Calibri"/>
      <family val="2"/>
      <scheme val="minor"/>
    </font>
    <font>
      <sz val="11"/>
      <color rgb="FF242424"/>
      <name val="Aptos Narrow"/>
      <charset val="1"/>
    </font>
    <font>
      <b/>
      <sz val="11"/>
      <color rgb="FF000000"/>
      <name val="Calibri"/>
      <scheme val="minor"/>
    </font>
    <font>
      <sz val="11"/>
      <color rgb="FF000000"/>
      <name val="Calibri"/>
      <scheme val="minor"/>
    </font>
    <font>
      <b/>
      <sz val="11"/>
      <color rgb="FF000000"/>
      <name val="Calibri"/>
      <charset val="1"/>
    </font>
    <font>
      <b/>
      <sz val="14"/>
      <color theme="1"/>
      <name val="Calibri"/>
      <family val="2"/>
      <scheme val="minor"/>
    </font>
    <font>
      <b/>
      <sz val="12"/>
      <color rgb="FFFF0000"/>
      <name val="Calibri"/>
      <scheme val="minor"/>
    </font>
    <font>
      <b/>
      <sz val="12"/>
      <color rgb="FFFF0000"/>
      <name val="Calibri"/>
      <family val="2"/>
      <scheme val="minor"/>
    </font>
    <font>
      <sz val="12"/>
      <color theme="1"/>
      <name val="Calibri"/>
      <family val="2"/>
      <scheme val="minor"/>
    </font>
    <font>
      <b/>
      <sz val="14"/>
      <color theme="4"/>
      <name val="Calibri"/>
      <family val="2"/>
      <scheme val="minor"/>
    </font>
    <font>
      <b/>
      <sz val="12"/>
      <color rgb="FF000000"/>
      <name val="Calibri"/>
    </font>
    <font>
      <sz val="12"/>
      <color rgb="FF000000"/>
      <name val="Calibri"/>
    </font>
    <font>
      <sz val="12"/>
      <color rgb="FF000000"/>
      <name val="Calibri"/>
      <scheme val="minor"/>
    </font>
    <font>
      <b/>
      <sz val="12"/>
      <color rgb="FF000000"/>
      <name val="Calibri"/>
      <scheme val="minor"/>
    </font>
    <font>
      <b/>
      <sz val="11"/>
      <color rgb="FF000000"/>
      <name val="Calibri"/>
    </font>
    <font>
      <sz val="11"/>
      <color rgb="FF000000"/>
      <name val="Calibri"/>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0">
    <xf numFmtId="0" fontId="0" fillId="0" borderId="0" xfId="0"/>
    <xf numFmtId="164" fontId="0" fillId="0" borderId="0" xfId="0" applyNumberFormat="1"/>
    <xf numFmtId="0" fontId="0" fillId="0" borderId="0" xfId="0" applyAlignment="1">
      <alignment horizontal="right"/>
    </xf>
    <xf numFmtId="0" fontId="18" fillId="0" borderId="0" xfId="0" applyFont="1"/>
    <xf numFmtId="0" fontId="16" fillId="0" borderId="0" xfId="0" applyFont="1"/>
    <xf numFmtId="0" fontId="20" fillId="0" borderId="0" xfId="0" applyFont="1" applyAlignment="1">
      <alignment horizontal="center"/>
    </xf>
    <xf numFmtId="0" fontId="21" fillId="0" borderId="0" xfId="0" applyFont="1"/>
    <xf numFmtId="0" fontId="0" fillId="0" borderId="0" xfId="0" applyAlignment="1">
      <alignment horizontal="left" vertical="top"/>
    </xf>
    <xf numFmtId="2" fontId="0" fillId="0" borderId="0" xfId="0" applyNumberFormat="1" applyAlignment="1">
      <alignment horizontal="center"/>
    </xf>
    <xf numFmtId="2" fontId="0" fillId="0" borderId="0" xfId="0" quotePrefix="1" applyNumberFormat="1"/>
    <xf numFmtId="0" fontId="0" fillId="0" borderId="0" xfId="0" quotePrefix="1"/>
    <xf numFmtId="165" fontId="0" fillId="0" borderId="0" xfId="0" applyNumberFormat="1"/>
    <xf numFmtId="0" fontId="0" fillId="0" borderId="0" xfId="0" applyNumberFormat="1"/>
    <xf numFmtId="166" fontId="0" fillId="0" borderId="0" xfId="0" applyNumberFormat="1"/>
    <xf numFmtId="0" fontId="0" fillId="35" borderId="0" xfId="0" applyFill="1"/>
    <xf numFmtId="0" fontId="20" fillId="0" borderId="0" xfId="0" applyFont="1" applyAlignment="1">
      <alignment horizontal="left"/>
    </xf>
    <xf numFmtId="0" fontId="24" fillId="0" borderId="0" xfId="0" applyFont="1"/>
    <xf numFmtId="0" fontId="0" fillId="33" borderId="0" xfId="0" applyFill="1"/>
    <xf numFmtId="0" fontId="16" fillId="0" borderId="0" xfId="0" applyFont="1" applyAlignment="1">
      <alignment horizontal="center" vertical="center"/>
    </xf>
    <xf numFmtId="0" fontId="0" fillId="0" borderId="0" xfId="0" applyAlignment="1">
      <alignment horizontal="center" vertical="center"/>
    </xf>
    <xf numFmtId="0" fontId="25" fillId="0" borderId="0" xfId="0" applyFont="1"/>
    <xf numFmtId="0" fontId="0" fillId="36" borderId="0" xfId="0" applyFill="1"/>
    <xf numFmtId="0" fontId="0" fillId="36" borderId="0" xfId="0" applyFill="1" applyAlignment="1">
      <alignment horizontal="center" vertical="center"/>
    </xf>
    <xf numFmtId="0" fontId="0" fillId="0" borderId="0" xfId="0" quotePrefix="1" applyAlignment="1">
      <alignment horizontal="center" vertical="center"/>
    </xf>
    <xf numFmtId="165" fontId="0" fillId="0" borderId="0" xfId="0" applyNumberFormat="1" applyAlignment="1">
      <alignment horizontal="center" vertical="center"/>
    </xf>
    <xf numFmtId="0" fontId="28" fillId="0" borderId="0" xfId="0" applyFont="1"/>
    <xf numFmtId="0" fontId="0" fillId="0" borderId="0" xfId="0" pivotButton="1"/>
    <xf numFmtId="0" fontId="31" fillId="36" borderId="0" xfId="0" applyFont="1" applyFill="1"/>
    <xf numFmtId="0" fontId="0" fillId="0" borderId="0" xfId="0" applyAlignment="1"/>
    <xf numFmtId="0" fontId="26" fillId="37" borderId="0" xfId="0" applyFont="1" applyFill="1" applyAlignment="1">
      <alignment horizontal="center"/>
    </xf>
    <xf numFmtId="0" fontId="27" fillId="37" borderId="0" xfId="0" applyFont="1" applyFill="1" applyAlignment="1">
      <alignment horizont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0" borderId="0" xfId="0" quotePrefix="1" applyAlignment="1">
      <alignment vertical="top" wrapText="1"/>
    </xf>
    <xf numFmtId="0" fontId="16" fillId="0" borderId="0" xfId="0" applyFont="1" applyAlignment="1"/>
    <xf numFmtId="0" fontId="25" fillId="0" borderId="0" xfId="0" applyFont="1" applyAlignment="1">
      <alignment horizontal="center"/>
    </xf>
    <xf numFmtId="0" fontId="0" fillId="0" borderId="0" xfId="0" applyFill="1"/>
    <xf numFmtId="0" fontId="31" fillId="36" borderId="0" xfId="0" applyFont="1" applyFill="1" applyAlignment="1"/>
    <xf numFmtId="0" fontId="31" fillId="0" borderId="0" xfId="0" applyFont="1" applyFill="1" applyAlignment="1"/>
    <xf numFmtId="0" fontId="32" fillId="36" borderId="0" xfId="0" applyFont="1" applyFill="1"/>
    <xf numFmtId="0" fontId="28" fillId="36" borderId="0" xfId="0" applyFont="1" applyFill="1"/>
    <xf numFmtId="0" fontId="33" fillId="38" borderId="10" xfId="0" applyFont="1" applyFill="1" applyBorder="1"/>
    <xf numFmtId="0" fontId="0" fillId="38" borderId="11" xfId="0" applyNumberFormat="1" applyFill="1" applyBorder="1"/>
    <xf numFmtId="0" fontId="0" fillId="38" borderId="11" xfId="0" applyFill="1" applyBorder="1"/>
    <xf numFmtId="0" fontId="0" fillId="38" borderId="12" xfId="0" applyFill="1" applyBorder="1"/>
    <xf numFmtId="0" fontId="23" fillId="38" borderId="13" xfId="0" applyFont="1" applyFill="1" applyBorder="1"/>
    <xf numFmtId="0" fontId="0" fillId="38" borderId="0" xfId="0" applyFill="1" applyBorder="1"/>
    <xf numFmtId="0" fontId="0" fillId="38" borderId="14" xfId="0" applyFill="1" applyBorder="1"/>
    <xf numFmtId="0" fontId="35" fillId="0" borderId="0" xfId="0" applyFont="1" applyFill="1" applyBorder="1" applyAlignment="1"/>
    <xf numFmtId="0" fontId="23" fillId="0" borderId="0" xfId="0" applyFont="1" applyFill="1" applyBorder="1" applyAlignment="1">
      <alignment horizontal="left" vertical="top" wrapText="1"/>
    </xf>
    <xf numFmtId="0" fontId="23" fillId="38" borderId="13" xfId="0" applyFont="1" applyFill="1" applyBorder="1" applyAlignment="1">
      <alignment horizontal="left" wrapText="1"/>
    </xf>
    <xf numFmtId="0" fontId="23" fillId="38" borderId="0" xfId="0" applyFont="1" applyFill="1" applyBorder="1" applyAlignment="1">
      <alignment horizontal="left" wrapText="1"/>
    </xf>
    <xf numFmtId="0" fontId="23" fillId="38" borderId="14" xfId="0" applyFont="1" applyFill="1" applyBorder="1" applyAlignment="1">
      <alignment horizontal="left" wrapText="1"/>
    </xf>
    <xf numFmtId="0" fontId="29" fillId="0" borderId="0" xfId="0" applyFont="1" applyAlignment="1">
      <alignment horizontal="center"/>
    </xf>
    <xf numFmtId="0" fontId="23" fillId="38" borderId="13" xfId="0" applyFont="1" applyFill="1" applyBorder="1" applyAlignment="1">
      <alignment horizontal="left" vertical="top" wrapText="1"/>
    </xf>
    <xf numFmtId="0" fontId="23" fillId="38" borderId="0" xfId="0" applyFont="1" applyFill="1" applyBorder="1" applyAlignment="1">
      <alignment horizontal="left" vertical="top" wrapText="1"/>
    </xf>
    <xf numFmtId="0" fontId="23" fillId="38" borderId="14" xfId="0" applyFont="1" applyFill="1" applyBorder="1" applyAlignment="1">
      <alignment horizontal="left" vertical="top" wrapText="1"/>
    </xf>
    <xf numFmtId="0" fontId="23" fillId="38" borderId="15" xfId="0" applyFont="1" applyFill="1" applyBorder="1" applyAlignment="1">
      <alignment horizontal="left" vertical="top" wrapText="1"/>
    </xf>
    <xf numFmtId="0" fontId="23" fillId="38" borderId="16" xfId="0" applyFont="1" applyFill="1" applyBorder="1" applyAlignment="1">
      <alignment horizontal="left" vertical="top" wrapText="1"/>
    </xf>
    <xf numFmtId="0" fontId="23" fillId="38" borderId="17" xfId="0" applyFont="1" applyFill="1" applyBorder="1" applyAlignment="1">
      <alignment horizontal="left" vertical="top" wrapText="1"/>
    </xf>
    <xf numFmtId="0" fontId="35" fillId="38" borderId="13" xfId="0" applyFont="1" applyFill="1" applyBorder="1" applyAlignment="1">
      <alignment horizontal="left" vertical="top" wrapText="1"/>
    </xf>
    <xf numFmtId="0" fontId="35" fillId="38" borderId="0" xfId="0" applyFont="1" applyFill="1" applyBorder="1" applyAlignment="1">
      <alignment horizontal="left" vertical="top" wrapText="1"/>
    </xf>
    <xf numFmtId="0" fontId="35" fillId="38" borderId="14" xfId="0" applyFont="1" applyFill="1" applyBorder="1" applyAlignment="1">
      <alignment horizontal="left" vertical="top" wrapText="1"/>
    </xf>
    <xf numFmtId="0" fontId="35" fillId="38" borderId="13" xfId="0" applyFont="1" applyFill="1" applyBorder="1" applyAlignment="1">
      <alignment vertical="top" wrapText="1"/>
    </xf>
    <xf numFmtId="0" fontId="35" fillId="38" borderId="0" xfId="0" applyFont="1" applyFill="1" applyBorder="1" applyAlignment="1">
      <alignment vertical="top" wrapText="1"/>
    </xf>
    <xf numFmtId="0" fontId="35" fillId="38" borderId="14" xfId="0" applyFont="1" applyFill="1" applyBorder="1" applyAlignment="1">
      <alignment vertical="top" wrapText="1"/>
    </xf>
    <xf numFmtId="0" fontId="25" fillId="0" borderId="0" xfId="0" applyFont="1" applyAlignment="1">
      <alignment horizontal="center"/>
    </xf>
    <xf numFmtId="0" fontId="19" fillId="0" borderId="0" xfId="0" applyFont="1" applyAlignment="1"/>
    <xf numFmtId="0" fontId="0" fillId="0" borderId="0" xfId="0" applyAlignment="1"/>
    <xf numFmtId="0" fontId="0" fillId="33" borderId="0" xfId="0" applyFill="1" applyAlignment="1">
      <alignment wrapText="1"/>
    </xf>
    <xf numFmtId="0" fontId="0" fillId="33" borderId="0" xfId="0" applyFill="1" applyAlignment="1">
      <alignment horizontal="left" vertical="top" wrapText="1"/>
    </xf>
    <xf numFmtId="0" fontId="0" fillId="34" borderId="0" xfId="0" applyFill="1" applyAlignment="1">
      <alignment wrapText="1"/>
    </xf>
    <xf numFmtId="0" fontId="26" fillId="37" borderId="0" xfId="0" applyFont="1" applyFill="1" applyAlignment="1">
      <alignment horizontal="center"/>
    </xf>
    <xf numFmtId="0" fontId="27" fillId="37" borderId="0" xfId="0" applyFont="1" applyFill="1" applyAlignment="1">
      <alignment horizontal="center"/>
    </xf>
    <xf numFmtId="0" fontId="23" fillId="0" borderId="0" xfId="0" applyFont="1" applyAlignment="1">
      <alignment horizontal="left" wrapText="1"/>
    </xf>
    <xf numFmtId="0" fontId="0" fillId="0" borderId="0" xfId="0" applyAlignment="1">
      <alignment horizontal="left" wrapText="1"/>
    </xf>
    <xf numFmtId="0" fontId="0" fillId="0" borderId="0" xfId="0" quotePrefix="1" applyAlignment="1">
      <alignment wrapText="1"/>
    </xf>
    <xf numFmtId="0" fontId="0" fillId="0" borderId="0" xfId="0" applyAlignment="1">
      <alignment horizontal="center" vertical="center"/>
    </xf>
    <xf numFmtId="0" fontId="0" fillId="0" borderId="0" xfId="0" applyAlignment="1">
      <alignment wrapText="1"/>
    </xf>
    <xf numFmtId="0" fontId="0" fillId="0" borderId="0" xfId="0" quotePrefix="1" applyAlignment="1">
      <alignment horizontal="left" wrapText="1"/>
    </xf>
    <xf numFmtId="0" fontId="0" fillId="0" borderId="0" xfId="0" applyAlignment="1">
      <alignment horizontal="left" vertical="top" wrapText="1"/>
    </xf>
    <xf numFmtId="0" fontId="0" fillId="0" borderId="0" xfId="0" quotePrefix="1" applyAlignment="1">
      <alignment vertical="top" wrapText="1"/>
    </xf>
    <xf numFmtId="0" fontId="0" fillId="36" borderId="0" xfId="0" applyFill="1" applyAlignment="1"/>
    <xf numFmtId="0" fontId="0" fillId="0" borderId="0" xfId="0" quotePrefix="1" applyAlignment="1">
      <alignment horizontal="left" vertical="center" wrapText="1"/>
    </xf>
    <xf numFmtId="0" fontId="0" fillId="0" borderId="0" xfId="0" applyAlignment="1">
      <alignment horizontal="center"/>
    </xf>
    <xf numFmtId="0" fontId="0" fillId="0" borderId="0" xfId="0" quotePrefix="1" applyAlignment="1">
      <alignment horizontal="left" vertical="top" wrapText="1"/>
    </xf>
    <xf numFmtId="0" fontId="0" fillId="0" borderId="0" xfId="0" quotePrefix="1" applyAlignment="1">
      <alignment horizontal="left" vertical="center"/>
    </xf>
    <xf numFmtId="0" fontId="0" fillId="0" borderId="0" xfId="0" applyAlignment="1">
      <alignment horizontal="left" vertical="center"/>
    </xf>
    <xf numFmtId="0" fontId="0" fillId="0" borderId="0" xfId="0" quotePrefix="1" applyAlignment="1">
      <alignment vertical="center" wrapText="1"/>
    </xf>
    <xf numFmtId="0" fontId="0" fillId="0" borderId="0" xfId="0" applyAlignment="1">
      <alignment vertical="center" wrapText="1"/>
    </xf>
    <xf numFmtId="0" fontId="16" fillId="0" borderId="0" xfId="0" applyFont="1" applyAlignment="1"/>
    <xf numFmtId="0" fontId="0" fillId="0" borderId="0" xfId="0" quotePrefix="1" applyAlignment="1">
      <alignment vertical="center"/>
    </xf>
    <xf numFmtId="0" fontId="21" fillId="0" borderId="0" xfId="0" quotePrefix="1" applyFont="1" applyAlignment="1">
      <alignment horizontal="center" vertical="center"/>
    </xf>
    <xf numFmtId="0" fontId="0" fillId="0" borderId="0" xfId="0" quotePrefix="1" applyAlignment="1">
      <alignment horizontal="center"/>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horizontal="right" vertical="center"/>
    </xf>
    <xf numFmtId="0" fontId="0" fillId="0" borderId="0" xfId="0" applyAlignment="1">
      <alignment vertical="center"/>
    </xf>
    <xf numFmtId="0" fontId="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alignment horizontal="center" vertical="center"/>
    </dxf>
    <dxf>
      <alignment horizontal="center"/>
    </dxf>
    <dxf>
      <alignment horizontal="center"/>
    </dxf>
    <dxf>
      <alignment horizontal="center"/>
    </dxf>
    <dxf>
      <font>
        <b/>
        <i val="0"/>
        <strike val="0"/>
        <condense val="0"/>
        <extend val="0"/>
        <outline val="0"/>
        <shadow val="0"/>
        <u val="none"/>
        <vertAlign val="baseline"/>
        <sz val="11"/>
        <color theme="1"/>
        <name val="Calibri"/>
        <family val="2"/>
        <scheme val="minor"/>
      </font>
    </dxf>
    <dxf>
      <numFmt numFmtId="164" formatCode="0.0"/>
    </dxf>
    <dxf>
      <numFmt numFmtId="164" formatCode="0.0"/>
    </dxf>
    <dxf>
      <numFmt numFmtId="164" formatCode="0.0"/>
    </dxf>
    <dxf>
      <numFmt numFmtId="164" formatCode="0.0"/>
    </dxf>
    <dxf>
      <numFmt numFmtId="164" formatCode="0.0"/>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[Day_5_PivotTable_Project 1 1.xlsx]Pivot_Analysis!PivotTable3</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Active vs Cancelled Customers by Region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Pivot_Analysis!$B$6:$B$7</c:f>
              <c:strCache>
                <c:ptCount val="1"/>
                <c:pt idx="0">
                  <c:v>Active</c:v>
                </c:pt>
              </c:strCache>
            </c:strRef>
          </c:tx>
          <c:spPr>
            <a:solidFill>
              <a:schemeClr val="accent1"/>
            </a:solidFill>
            <a:ln>
              <a:noFill/>
            </a:ln>
            <a:effectLst/>
          </c:spPr>
          <c:invertIfNegative val="0"/>
          <c:cat>
            <c:strRef>
              <c:f>Pivot_Analysis!$A$8:$A$12</c:f>
              <c:strCache>
                <c:ptCount val="4"/>
                <c:pt idx="0">
                  <c:v>Chattogram</c:v>
                </c:pt>
                <c:pt idx="1">
                  <c:v>Dhaka</c:v>
                </c:pt>
                <c:pt idx="2">
                  <c:v>Khulna</c:v>
                </c:pt>
                <c:pt idx="3">
                  <c:v>Rajshahi</c:v>
                </c:pt>
              </c:strCache>
            </c:strRef>
          </c:cat>
          <c:val>
            <c:numRef>
              <c:f>Pivot_Analysis!$B$8:$B$12</c:f>
              <c:numCache>
                <c:formatCode>General</c:formatCode>
                <c:ptCount val="4"/>
                <c:pt idx="0">
                  <c:v>4</c:v>
                </c:pt>
                <c:pt idx="1">
                  <c:v>5</c:v>
                </c:pt>
                <c:pt idx="2">
                  <c:v>2</c:v>
                </c:pt>
                <c:pt idx="3">
                  <c:v>3</c:v>
                </c:pt>
              </c:numCache>
            </c:numRef>
          </c:val>
          <c:extLst>
            <c:ext xmlns:c16="http://schemas.microsoft.com/office/drawing/2014/chart" uri="{C3380CC4-5D6E-409C-BE32-E72D297353CC}">
              <c16:uniqueId val="{00000000-FDE4-4091-9960-A813ECEA5F30}"/>
            </c:ext>
          </c:extLst>
        </c:ser>
        <c:ser>
          <c:idx val="1"/>
          <c:order val="1"/>
          <c:tx>
            <c:strRef>
              <c:f>Pivot_Analysis!$C$6:$C$7</c:f>
              <c:strCache>
                <c:ptCount val="1"/>
                <c:pt idx="0">
                  <c:v>Cancelled</c:v>
                </c:pt>
              </c:strCache>
            </c:strRef>
          </c:tx>
          <c:spPr>
            <a:solidFill>
              <a:schemeClr val="accent2"/>
            </a:solidFill>
            <a:ln>
              <a:noFill/>
            </a:ln>
            <a:effectLst/>
          </c:spPr>
          <c:invertIfNegative val="0"/>
          <c:cat>
            <c:strRef>
              <c:f>Pivot_Analysis!$A$8:$A$12</c:f>
              <c:strCache>
                <c:ptCount val="4"/>
                <c:pt idx="0">
                  <c:v>Chattogram</c:v>
                </c:pt>
                <c:pt idx="1">
                  <c:v>Dhaka</c:v>
                </c:pt>
                <c:pt idx="2">
                  <c:v>Khulna</c:v>
                </c:pt>
                <c:pt idx="3">
                  <c:v>Rajshahi</c:v>
                </c:pt>
              </c:strCache>
            </c:strRef>
          </c:cat>
          <c:val>
            <c:numRef>
              <c:f>Pivot_Analysis!$C$8:$C$12</c:f>
              <c:numCache>
                <c:formatCode>General</c:formatCode>
                <c:ptCount val="4"/>
                <c:pt idx="0">
                  <c:v>1</c:v>
                </c:pt>
                <c:pt idx="1">
                  <c:v>2</c:v>
                </c:pt>
                <c:pt idx="2">
                  <c:v>2</c:v>
                </c:pt>
                <c:pt idx="3">
                  <c:v>1</c:v>
                </c:pt>
              </c:numCache>
            </c:numRef>
          </c:val>
          <c:extLst>
            <c:ext xmlns:c16="http://schemas.microsoft.com/office/drawing/2014/chart" uri="{C3380CC4-5D6E-409C-BE32-E72D297353CC}">
              <c16:uniqueId val="{00000002-FDE4-4091-9960-A813ECEA5F30}"/>
            </c:ext>
          </c:extLst>
        </c:ser>
        <c:dLbls>
          <c:showLegendKey val="0"/>
          <c:showVal val="0"/>
          <c:showCatName val="0"/>
          <c:showSerName val="0"/>
          <c:showPercent val="0"/>
          <c:showBubbleSize val="0"/>
        </c:dLbls>
        <c:gapWidth val="219"/>
        <c:overlap val="-27"/>
        <c:axId val="1753826311"/>
        <c:axId val="1753828359"/>
      </c:barChart>
      <c:catAx>
        <c:axId val="1753826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28359"/>
        <c:crosses val="autoZero"/>
        <c:auto val="1"/>
        <c:lblAlgn val="ctr"/>
        <c:lblOffset val="100"/>
        <c:noMultiLvlLbl val="0"/>
      </c:catAx>
      <c:valAx>
        <c:axId val="1753828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26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[Day_5_PivotTable_Project 1 1.xlsx]Pivot_Analysis!PivotTable1</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Total Monthly Bill Value by Plan (BDT)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Pivot_Analysis!$B$26</c:f>
              <c:strCache>
                <c:ptCount val="1"/>
                <c:pt idx="0">
                  <c:v>Sum of Monthly_Bill_BDT</c:v>
                </c:pt>
              </c:strCache>
            </c:strRef>
          </c:tx>
          <c:spPr>
            <a:solidFill>
              <a:schemeClr val="accent1"/>
            </a:solidFill>
            <a:ln>
              <a:noFill/>
            </a:ln>
            <a:effectLst/>
          </c:spPr>
          <c:invertIfNegative val="0"/>
          <c:cat>
            <c:strRef>
              <c:f>Pivot_Analysis!$A$27:$A$30</c:f>
              <c:strCache>
                <c:ptCount val="3"/>
                <c:pt idx="0">
                  <c:v>Basic</c:v>
                </c:pt>
                <c:pt idx="1">
                  <c:v>Premium</c:v>
                </c:pt>
                <c:pt idx="2">
                  <c:v>Standard</c:v>
                </c:pt>
              </c:strCache>
            </c:strRef>
          </c:cat>
          <c:val>
            <c:numRef>
              <c:f>Pivot_Analysis!$B$27:$B$30</c:f>
              <c:numCache>
                <c:formatCode>General</c:formatCode>
                <c:ptCount val="3"/>
                <c:pt idx="0">
                  <c:v>5600</c:v>
                </c:pt>
                <c:pt idx="1">
                  <c:v>9000</c:v>
                </c:pt>
                <c:pt idx="2">
                  <c:v>7000</c:v>
                </c:pt>
              </c:numCache>
            </c:numRef>
          </c:val>
          <c:extLst>
            <c:ext xmlns:c16="http://schemas.microsoft.com/office/drawing/2014/chart" uri="{C3380CC4-5D6E-409C-BE32-E72D297353CC}">
              <c16:uniqueId val="{00000000-A4CD-4AE3-AAA0-44CF83354E1C}"/>
            </c:ext>
          </c:extLst>
        </c:ser>
        <c:ser>
          <c:idx val="1"/>
          <c:order val="1"/>
          <c:tx>
            <c:strRef>
              <c:f>Pivot_Analysis!$C$26</c:f>
              <c:strCache>
                <c:ptCount val="1"/>
                <c:pt idx="0">
                  <c:v>Count of Customer_ID</c:v>
                </c:pt>
              </c:strCache>
            </c:strRef>
          </c:tx>
          <c:spPr>
            <a:solidFill>
              <a:schemeClr val="accent2"/>
            </a:solidFill>
            <a:ln>
              <a:noFill/>
            </a:ln>
            <a:effectLst/>
          </c:spPr>
          <c:invertIfNegative val="0"/>
          <c:cat>
            <c:strRef>
              <c:f>Pivot_Analysis!$A$27:$A$30</c:f>
              <c:strCache>
                <c:ptCount val="3"/>
                <c:pt idx="0">
                  <c:v>Basic</c:v>
                </c:pt>
                <c:pt idx="1">
                  <c:v>Premium</c:v>
                </c:pt>
                <c:pt idx="2">
                  <c:v>Standard</c:v>
                </c:pt>
              </c:strCache>
            </c:strRef>
          </c:cat>
          <c:val>
            <c:numRef>
              <c:f>Pivot_Analysis!$C$27:$C$30</c:f>
              <c:numCache>
                <c:formatCode>General</c:formatCode>
                <c:ptCount val="3"/>
                <c:pt idx="0">
                  <c:v>7</c:v>
                </c:pt>
                <c:pt idx="1">
                  <c:v>6</c:v>
                </c:pt>
                <c:pt idx="2">
                  <c:v>7</c:v>
                </c:pt>
              </c:numCache>
            </c:numRef>
          </c:val>
          <c:extLst>
            <c:ext xmlns:c16="http://schemas.microsoft.com/office/drawing/2014/chart" uri="{C3380CC4-5D6E-409C-BE32-E72D297353CC}">
              <c16:uniqueId val="{00000002-A4CD-4AE3-AAA0-44CF83354E1C}"/>
            </c:ext>
          </c:extLst>
        </c:ser>
        <c:dLbls>
          <c:showLegendKey val="0"/>
          <c:showVal val="0"/>
          <c:showCatName val="0"/>
          <c:showSerName val="0"/>
          <c:showPercent val="0"/>
          <c:showBubbleSize val="0"/>
        </c:dLbls>
        <c:gapWidth val="219"/>
        <c:overlap val="-27"/>
        <c:axId val="1753841159"/>
        <c:axId val="1753900551"/>
      </c:barChart>
      <c:catAx>
        <c:axId val="1753841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00551"/>
        <c:crosses val="autoZero"/>
        <c:auto val="1"/>
        <c:lblAlgn val="ctr"/>
        <c:lblOffset val="100"/>
        <c:noMultiLvlLbl val="0"/>
      </c:catAx>
      <c:valAx>
        <c:axId val="1753900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41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[Day_5_PivotTable_Project 1 1.xlsx]Pivot_Analysis!PivotTable2</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Average Monthly Bill by Acquisition Channel (BDT)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Pivot_Analysis!$B$44</c:f>
              <c:strCache>
                <c:ptCount val="1"/>
                <c:pt idx="0">
                  <c:v>Average of Monthly_Bill_BDT</c:v>
                </c:pt>
              </c:strCache>
            </c:strRef>
          </c:tx>
          <c:spPr>
            <a:solidFill>
              <a:schemeClr val="accent1"/>
            </a:solidFill>
            <a:ln>
              <a:noFill/>
            </a:ln>
            <a:effectLst/>
          </c:spPr>
          <c:invertIfNegative val="0"/>
          <c:cat>
            <c:strRef>
              <c:f>Pivot_Analysis!$A$45:$A$48</c:f>
              <c:strCache>
                <c:ptCount val="3"/>
                <c:pt idx="0">
                  <c:v>Facebook</c:v>
                </c:pt>
                <c:pt idx="1">
                  <c:v>Referral</c:v>
                </c:pt>
                <c:pt idx="2">
                  <c:v>Walk-in</c:v>
                </c:pt>
              </c:strCache>
            </c:strRef>
          </c:cat>
          <c:val>
            <c:numRef>
              <c:f>Pivot_Analysis!$B$45:$B$48</c:f>
              <c:numCache>
                <c:formatCode>General</c:formatCode>
                <c:ptCount val="3"/>
                <c:pt idx="0">
                  <c:v>1014.2857142857143</c:v>
                </c:pt>
                <c:pt idx="1">
                  <c:v>1128.5714285714287</c:v>
                </c:pt>
                <c:pt idx="2">
                  <c:v>1100</c:v>
                </c:pt>
              </c:numCache>
            </c:numRef>
          </c:val>
          <c:extLst>
            <c:ext xmlns:c16="http://schemas.microsoft.com/office/drawing/2014/chart" uri="{C3380CC4-5D6E-409C-BE32-E72D297353CC}">
              <c16:uniqueId val="{00000000-FEFD-44D1-A7C0-2B62BDC89855}"/>
            </c:ext>
          </c:extLst>
        </c:ser>
        <c:ser>
          <c:idx val="1"/>
          <c:order val="1"/>
          <c:tx>
            <c:strRef>
              <c:f>Pivot_Analysis!$C$44</c:f>
              <c:strCache>
                <c:ptCount val="1"/>
                <c:pt idx="0">
                  <c:v>Count of Customer_ID</c:v>
                </c:pt>
              </c:strCache>
            </c:strRef>
          </c:tx>
          <c:spPr>
            <a:solidFill>
              <a:schemeClr val="accent2"/>
            </a:solidFill>
            <a:ln>
              <a:noFill/>
            </a:ln>
            <a:effectLst/>
          </c:spPr>
          <c:invertIfNegative val="0"/>
          <c:cat>
            <c:strRef>
              <c:f>Pivot_Analysis!$A$45:$A$48</c:f>
              <c:strCache>
                <c:ptCount val="3"/>
                <c:pt idx="0">
                  <c:v>Facebook</c:v>
                </c:pt>
                <c:pt idx="1">
                  <c:v>Referral</c:v>
                </c:pt>
                <c:pt idx="2">
                  <c:v>Walk-in</c:v>
                </c:pt>
              </c:strCache>
            </c:strRef>
          </c:cat>
          <c:val>
            <c:numRef>
              <c:f>Pivot_Analysis!$C$45:$C$48</c:f>
              <c:numCache>
                <c:formatCode>General</c:formatCode>
                <c:ptCount val="3"/>
                <c:pt idx="0">
                  <c:v>7</c:v>
                </c:pt>
                <c:pt idx="1">
                  <c:v>7</c:v>
                </c:pt>
                <c:pt idx="2">
                  <c:v>6</c:v>
                </c:pt>
              </c:numCache>
            </c:numRef>
          </c:val>
          <c:extLst>
            <c:ext xmlns:c16="http://schemas.microsoft.com/office/drawing/2014/chart" uri="{C3380CC4-5D6E-409C-BE32-E72D297353CC}">
              <c16:uniqueId val="{00000002-FEFD-44D1-A7C0-2B62BDC89855}"/>
            </c:ext>
          </c:extLst>
        </c:ser>
        <c:dLbls>
          <c:showLegendKey val="0"/>
          <c:showVal val="0"/>
          <c:showCatName val="0"/>
          <c:showSerName val="0"/>
          <c:showPercent val="0"/>
          <c:showBubbleSize val="0"/>
        </c:dLbls>
        <c:gapWidth val="219"/>
        <c:overlap val="-27"/>
        <c:axId val="1913088519"/>
        <c:axId val="1913091591"/>
      </c:barChart>
      <c:catAx>
        <c:axId val="1913088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91591"/>
        <c:crosses val="autoZero"/>
        <c:auto val="1"/>
        <c:lblAlgn val="ctr"/>
        <c:lblOffset val="100"/>
        <c:noMultiLvlLbl val="0"/>
      </c:catAx>
      <c:valAx>
        <c:axId val="1913091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88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514350</xdr:colOff>
      <xdr:row>1</xdr:row>
      <xdr:rowOff>200025</xdr:rowOff>
    </xdr:from>
    <xdr:to>
      <xdr:col>10</xdr:col>
      <xdr:colOff>523875</xdr:colOff>
      <xdr:row>12</xdr:row>
      <xdr:rowOff>152400</xdr:rowOff>
    </xdr:to>
    <xdr:graphicFrame macro="">
      <xdr:nvGraphicFramePr>
        <xdr:cNvPr id="5" name="Chart 4">
          <a:extLst>
            <a:ext uri="{FF2B5EF4-FFF2-40B4-BE49-F238E27FC236}">
              <a16:creationId xmlns:a16="http://schemas.microsoft.com/office/drawing/2014/main" id="{79E384C9-20C8-6AC4-4581-8930FEEB1F38}"/>
            </a:ext>
            <a:ext uri="{147F2762-F138-4A5C-976F-8EAC2B608ADB}">
              <a16:predDERef xmlns:a16="http://schemas.microsoft.com/office/drawing/2014/main" pred="{C76143F3-5EBB-866E-ADB5-AC73A2492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180975</xdr:rowOff>
    </xdr:from>
    <xdr:to>
      <xdr:col>10</xdr:col>
      <xdr:colOff>371475</xdr:colOff>
      <xdr:row>30</xdr:row>
      <xdr:rowOff>0</xdr:rowOff>
    </xdr:to>
    <xdr:graphicFrame macro="">
      <xdr:nvGraphicFramePr>
        <xdr:cNvPr id="6" name="Chart 5">
          <a:extLst>
            <a:ext uri="{FF2B5EF4-FFF2-40B4-BE49-F238E27FC236}">
              <a16:creationId xmlns:a16="http://schemas.microsoft.com/office/drawing/2014/main" id="{B9AAC32F-1085-1C9B-3887-F178B90E78F1}"/>
            </a:ext>
            <a:ext uri="{147F2762-F138-4A5C-976F-8EAC2B608ADB}">
              <a16:predDERef xmlns:a16="http://schemas.microsoft.com/office/drawing/2014/main" pred="{79E384C9-20C8-6AC4-4581-8930FEEB1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39</xdr:row>
      <xdr:rowOff>57150</xdr:rowOff>
    </xdr:from>
    <xdr:to>
      <xdr:col>10</xdr:col>
      <xdr:colOff>552450</xdr:colOff>
      <xdr:row>49</xdr:row>
      <xdr:rowOff>161925</xdr:rowOff>
    </xdr:to>
    <xdr:graphicFrame macro="">
      <xdr:nvGraphicFramePr>
        <xdr:cNvPr id="7" name="Chart 6">
          <a:extLst>
            <a:ext uri="{FF2B5EF4-FFF2-40B4-BE49-F238E27FC236}">
              <a16:creationId xmlns:a16="http://schemas.microsoft.com/office/drawing/2014/main" id="{4D41D2FA-09BA-2B68-6F31-199A061858BF}"/>
            </a:ext>
            <a:ext uri="{147F2762-F138-4A5C-976F-8EAC2B608ADB}">
              <a16:predDERef xmlns:a16="http://schemas.microsoft.com/office/drawing/2014/main" pred="{B9AAC32F-1085-1C9B-3887-F178B90E7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14.694080671296" createdVersion="8" refreshedVersion="8" minRefreshableVersion="3" recordCount="20" xr:uid="{C0AFE6A2-F71C-4971-96A4-AC91ABEFCB4D}">
  <cacheSource type="worksheet">
    <worksheetSource ref="A1:G21" sheet="Day5_Data"/>
  </cacheSource>
  <cacheFields count="7">
    <cacheField name="Customer_ID" numFmtId="0">
      <sharedItems/>
    </cacheField>
    <cacheField name="Region" numFmtId="0">
      <sharedItems count="4">
        <s v="Dhaka"/>
        <s v="Chattogram"/>
        <s v="Khulna"/>
        <s v="Rajshahi"/>
      </sharedItems>
    </cacheField>
    <cacheField name="Plan" numFmtId="0">
      <sharedItems count="3">
        <s v="Basic"/>
        <s v="Standard"/>
        <s v="Premium"/>
      </sharedItems>
    </cacheField>
    <cacheField name="Monthly_Bill_BDT" numFmtId="0">
      <sharedItems containsSemiMixedTypes="0" containsString="0" containsNumber="1" containsInteger="1" minValue="800" maxValue="1500"/>
    </cacheField>
    <cacheField name="Monthly_Data_GB" numFmtId="0">
      <sharedItems containsSemiMixedTypes="0" containsString="0" containsNumber="1" containsInteger="1" minValue="50" maxValue="200"/>
    </cacheField>
    <cacheField name="Status" numFmtId="0">
      <sharedItems count="2">
        <s v="Active"/>
        <s v="Cancelled"/>
      </sharedItems>
    </cacheField>
    <cacheField name="Acquisition_Channel" numFmtId="0">
      <sharedItems count="3">
        <s v="Referral"/>
        <s v="Facebook"/>
        <s v="Walk-in"/>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C001"/>
    <x v="0"/>
    <x v="0"/>
    <n v="800"/>
    <n v="50"/>
    <x v="0"/>
    <x v="0"/>
  </r>
  <r>
    <s v="C002"/>
    <x v="0"/>
    <x v="1"/>
    <n v="1000"/>
    <n v="100"/>
    <x v="0"/>
    <x v="1"/>
  </r>
  <r>
    <s v="C003"/>
    <x v="1"/>
    <x v="2"/>
    <n v="1500"/>
    <n v="200"/>
    <x v="0"/>
    <x v="0"/>
  </r>
  <r>
    <s v="C004"/>
    <x v="2"/>
    <x v="0"/>
    <n v="800"/>
    <n v="50"/>
    <x v="1"/>
    <x v="2"/>
  </r>
  <r>
    <s v="C005"/>
    <x v="0"/>
    <x v="2"/>
    <n v="1500"/>
    <n v="200"/>
    <x v="0"/>
    <x v="1"/>
  </r>
  <r>
    <s v="C006"/>
    <x v="3"/>
    <x v="1"/>
    <n v="1000"/>
    <n v="100"/>
    <x v="0"/>
    <x v="2"/>
  </r>
  <r>
    <s v="C007"/>
    <x v="1"/>
    <x v="0"/>
    <n v="800"/>
    <n v="50"/>
    <x v="0"/>
    <x v="0"/>
  </r>
  <r>
    <s v="C008"/>
    <x v="2"/>
    <x v="1"/>
    <n v="1000"/>
    <n v="100"/>
    <x v="1"/>
    <x v="1"/>
  </r>
  <r>
    <s v="C009"/>
    <x v="0"/>
    <x v="0"/>
    <n v="800"/>
    <n v="50"/>
    <x v="1"/>
    <x v="2"/>
  </r>
  <r>
    <s v="C010"/>
    <x v="3"/>
    <x v="2"/>
    <n v="1500"/>
    <n v="200"/>
    <x v="0"/>
    <x v="0"/>
  </r>
  <r>
    <s v="C011"/>
    <x v="1"/>
    <x v="1"/>
    <n v="1000"/>
    <n v="100"/>
    <x v="0"/>
    <x v="1"/>
  </r>
  <r>
    <s v="C012"/>
    <x v="0"/>
    <x v="1"/>
    <n v="1000"/>
    <n v="100"/>
    <x v="1"/>
    <x v="0"/>
  </r>
  <r>
    <s v="C013"/>
    <x v="2"/>
    <x v="2"/>
    <n v="1500"/>
    <n v="200"/>
    <x v="0"/>
    <x v="2"/>
  </r>
  <r>
    <s v="C014"/>
    <x v="3"/>
    <x v="0"/>
    <n v="800"/>
    <n v="50"/>
    <x v="0"/>
    <x v="1"/>
  </r>
  <r>
    <s v="C015"/>
    <x v="1"/>
    <x v="2"/>
    <n v="1500"/>
    <n v="200"/>
    <x v="1"/>
    <x v="0"/>
  </r>
  <r>
    <s v="C016"/>
    <x v="0"/>
    <x v="0"/>
    <n v="800"/>
    <n v="50"/>
    <x v="0"/>
    <x v="0"/>
  </r>
  <r>
    <s v="C017"/>
    <x v="2"/>
    <x v="1"/>
    <n v="1000"/>
    <n v="100"/>
    <x v="0"/>
    <x v="1"/>
  </r>
  <r>
    <s v="C018"/>
    <x v="3"/>
    <x v="1"/>
    <n v="1000"/>
    <n v="100"/>
    <x v="1"/>
    <x v="2"/>
  </r>
  <r>
    <s v="C019"/>
    <x v="1"/>
    <x v="0"/>
    <n v="800"/>
    <n v="50"/>
    <x v="0"/>
    <x v="1"/>
  </r>
  <r>
    <s v="C020"/>
    <x v="0"/>
    <x v="2"/>
    <n v="1500"/>
    <n v="20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E0749C-CB67-43F7-8F7E-8BCA8FDD3A5C}" name="PivotTable1" cacheId="2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26:C30" firstHeaderRow="0" firstDataRow="1" firstDataCol="1"/>
  <pivotFields count="7">
    <pivotField dataField="1"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s>
  <rowFields count="1">
    <field x="2"/>
  </rowFields>
  <rowItems count="4">
    <i>
      <x/>
    </i>
    <i>
      <x v="1"/>
    </i>
    <i>
      <x v="2"/>
    </i>
    <i t="grand">
      <x/>
    </i>
  </rowItems>
  <colFields count="1">
    <field x="-2"/>
  </colFields>
  <colItems count="2">
    <i>
      <x/>
    </i>
    <i i="1">
      <x v="1"/>
    </i>
  </colItems>
  <dataFields count="2">
    <dataField name="Sum of Monthly_Bill_BDT" fld="3" baseField="0" baseItem="0"/>
    <dataField name="Count of Customer_ID" fld="0" subtotal="count" baseField="0" baseItem="0"/>
  </dataFields>
  <formats count="1">
    <format dxfId="10">
      <pivotArea dataOnly="0" labelOnly="1"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8C905E-C6C4-4AD5-B37E-F8796A22E09D}" name="PivotTable3" cacheId="2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6:D12" firstHeaderRow="1" firstDataRow="2" firstDataCol="1"/>
  <pivotFields count="7">
    <pivotField dataField="1" compact="0" outline="0" showAll="0"/>
    <pivotField axis="axisRow" compact="0" outline="0" showAll="0">
      <items count="5">
        <item x="1"/>
        <item x="0"/>
        <item x="2"/>
        <item x="3"/>
        <item t="default"/>
      </items>
    </pivotField>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1"/>
  </rowFields>
  <rowItems count="5">
    <i>
      <x/>
    </i>
    <i>
      <x v="1"/>
    </i>
    <i>
      <x v="2"/>
    </i>
    <i>
      <x v="3"/>
    </i>
    <i t="grand">
      <x/>
    </i>
  </rowItems>
  <colFields count="1">
    <field x="5"/>
  </colFields>
  <colItems count="3">
    <i>
      <x/>
    </i>
    <i>
      <x v="1"/>
    </i>
    <i t="grand">
      <x/>
    </i>
  </colItems>
  <dataFields count="1">
    <dataField name="Count of Customer_ID" fld="0" subtotal="count" baseField="0" baseItem="0"/>
  </dataFields>
  <chartFormats count="6">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A4069-F9A2-4BDF-8195-4731501A1226}" name="PivotTable2" cacheId="2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44:C48" firstHeaderRow="0" firstDataRow="1" firstDataCol="1"/>
  <pivotFields count="7">
    <pivotField dataField="1"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4">
        <item x="1"/>
        <item x="0"/>
        <item x="2"/>
        <item t="default"/>
      </items>
    </pivotField>
  </pivotFields>
  <rowFields count="1">
    <field x="6"/>
  </rowFields>
  <rowItems count="4">
    <i>
      <x/>
    </i>
    <i>
      <x v="1"/>
    </i>
    <i>
      <x v="2"/>
    </i>
    <i t="grand">
      <x/>
    </i>
  </rowItems>
  <colFields count="1">
    <field x="-2"/>
  </colFields>
  <colItems count="2">
    <i>
      <x/>
    </i>
    <i i="1">
      <x v="1"/>
    </i>
  </colItems>
  <dataFields count="2">
    <dataField name="Average of Monthly_Bill_BDT" fld="3" subtotal="average" baseField="0" baseItem="0"/>
    <dataField name="Count of Customer_ID" fld="0"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5604C-4346-4BE0-AEE2-9B3478213859}" name="Table1" displayName="Table1" ref="A1:G13" totalsRowShown="0">
  <autoFilter ref="A1:G13" xr:uid="{7525604C-4346-4BE0-AEE2-9B3478213859}"/>
  <sortState xmlns:xlrd2="http://schemas.microsoft.com/office/spreadsheetml/2017/richdata2" ref="A2:F13">
    <sortCondition descending="1" ref="C1:C13"/>
  </sortState>
  <tableColumns count="7">
    <tableColumn id="1" xr3:uid="{96BACC81-4440-47BF-B170-4DF1CFF6CC69}" name="Illustrative Area"/>
    <tableColumn id="2" xr3:uid="{618DFA53-2AD0-4220-85B1-19C2AE9DCA3F}" name="Year"/>
    <tableColumn id="3" xr3:uid="{E7E8489B-39D3-4CEF-8272-697E2D80AD6E}" name="Internet Access (%)" dataDxfId="9"/>
    <tableColumn id="4" xr3:uid="{4568CBFA-EF02-4D76-A2D5-B3DEB9F4C7B3}" name="Fixed Broadband Subscriptions (per 100 people)" dataDxfId="8"/>
    <tableColumn id="5" xr3:uid="{7F662AB5-0BFA-4EA1-9652-00F6C63AD920}" name="Mobile Internet Use (%)" dataDxfId="7"/>
    <tableColumn id="6" xr3:uid="{46AACEA6-45E3-4B73-84BE-20B39A223BDC}" name="Households Using Digital Services (%)" dataDxfId="6"/>
    <tableColumn id="7" xr3:uid="{B8841B73-E16C-4C35-A601-FF7FDFABF93B}" name="Column1"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2FA4A-4DE7-42B2-9EC0-F85BF8F9A716}" name="Table2" displayName="Table2" ref="A1:E11" totalsRowShown="0" headerRowDxfId="4">
  <autoFilter ref="A1:E11" xr:uid="{9852FA4A-4DE7-42B2-9EC0-F85BF8F9A716}"/>
  <tableColumns count="5">
    <tableColumn id="1" xr3:uid="{3E8C5BD9-F80D-4EE1-8304-FEBAB16189FC}" name="ID" dataDxfId="3"/>
    <tableColumn id="2" xr3:uid="{CB5AAC28-55EB-4613-8087-2D7C62A1CDB2}" name="Region"/>
    <tableColumn id="3" xr3:uid="{98F2E5AA-1872-4293-8498-4E2624D04215}" name="Internet Users" dataDxfId="2"/>
    <tableColumn id="4" xr3:uid="{C0E05BE3-4C55-434A-8E6D-4666273D276E}" name="Monthly Income (BDT)" dataDxfId="1"/>
    <tableColumn id="5" xr3:uid="{C479B2E5-44BD-4EC3-B969-C88BCBBEAAF3}" name="Internet Acces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D744-68B0-409F-9768-BFFB205D59A3}">
  <dimension ref="A1:G20"/>
  <sheetViews>
    <sheetView workbookViewId="0">
      <selection activeCell="C1" sqref="C1"/>
    </sheetView>
  </sheetViews>
  <sheetFormatPr defaultRowHeight="15"/>
  <cols>
    <col min="1" max="1" width="17.140625" bestFit="1" customWidth="1"/>
    <col min="2" max="2" width="7" bestFit="1" customWidth="1"/>
    <col min="3" max="3" width="20.28515625" bestFit="1" customWidth="1"/>
    <col min="4" max="4" width="33.7109375" customWidth="1"/>
    <col min="5" max="5" width="24.42578125" bestFit="1" customWidth="1"/>
    <col min="6" max="6" width="25.42578125" bestFit="1" customWidth="1"/>
    <col min="7" max="7" width="11.42578125" bestFit="1" customWidth="1"/>
  </cols>
  <sheetData>
    <row r="1" spans="1:7" ht="30.75">
      <c r="A1" s="32" t="s">
        <v>0</v>
      </c>
      <c r="B1" s="32" t="s">
        <v>1</v>
      </c>
      <c r="C1" s="32" t="s">
        <v>2</v>
      </c>
      <c r="D1" s="32" t="s">
        <v>3</v>
      </c>
      <c r="E1" s="32" t="s">
        <v>4</v>
      </c>
      <c r="F1" s="32" t="s">
        <v>5</v>
      </c>
      <c r="G1" t="s">
        <v>6</v>
      </c>
    </row>
    <row r="2" spans="1:7">
      <c r="A2" t="s">
        <v>7</v>
      </c>
      <c r="B2">
        <v>2024</v>
      </c>
      <c r="C2" s="1">
        <v>80</v>
      </c>
      <c r="D2" s="1">
        <v>35</v>
      </c>
      <c r="E2" s="1">
        <v>88</v>
      </c>
      <c r="F2" s="1">
        <v>49</v>
      </c>
      <c r="G2" s="1"/>
    </row>
    <row r="3" spans="1:7">
      <c r="A3" t="s">
        <v>7</v>
      </c>
      <c r="B3">
        <v>2023</v>
      </c>
      <c r="C3" s="1">
        <v>76</v>
      </c>
      <c r="D3" s="1">
        <v>31</v>
      </c>
      <c r="E3" s="1">
        <v>85</v>
      </c>
      <c r="F3" s="1">
        <v>45</v>
      </c>
      <c r="G3" s="1" t="s">
        <v>8</v>
      </c>
    </row>
    <row r="4" spans="1:7">
      <c r="A4" t="s">
        <v>7</v>
      </c>
      <c r="B4">
        <v>2022</v>
      </c>
      <c r="C4" s="1">
        <v>73</v>
      </c>
      <c r="D4" s="1">
        <v>28</v>
      </c>
      <c r="E4" s="1">
        <v>82</v>
      </c>
      <c r="F4" s="1">
        <v>41</v>
      </c>
      <c r="G4" s="1"/>
    </row>
    <row r="5" spans="1:7">
      <c r="A5" t="s">
        <v>9</v>
      </c>
      <c r="B5">
        <v>2024</v>
      </c>
      <c r="C5" s="1">
        <v>70</v>
      </c>
      <c r="D5" s="1">
        <v>24</v>
      </c>
      <c r="E5" s="1">
        <v>80</v>
      </c>
      <c r="F5" s="1">
        <v>42</v>
      </c>
      <c r="G5" s="1"/>
    </row>
    <row r="6" spans="1:7">
      <c r="A6" t="s">
        <v>9</v>
      </c>
      <c r="B6">
        <v>2023</v>
      </c>
      <c r="C6" s="1">
        <v>66</v>
      </c>
      <c r="D6" s="1">
        <v>21</v>
      </c>
      <c r="E6" s="1">
        <v>77</v>
      </c>
      <c r="F6" s="1">
        <v>38</v>
      </c>
      <c r="G6" s="1"/>
    </row>
    <row r="7" spans="1:7">
      <c r="A7" t="s">
        <v>9</v>
      </c>
      <c r="B7">
        <v>2022</v>
      </c>
      <c r="C7" s="1">
        <v>62</v>
      </c>
      <c r="D7" s="1">
        <v>18</v>
      </c>
      <c r="E7" s="1">
        <v>74</v>
      </c>
      <c r="F7" s="1">
        <v>35</v>
      </c>
      <c r="G7" s="1"/>
    </row>
    <row r="8" spans="1:7">
      <c r="A8" t="s">
        <v>10</v>
      </c>
      <c r="B8">
        <v>2024</v>
      </c>
      <c r="C8" s="1">
        <v>57</v>
      </c>
      <c r="D8" s="1">
        <v>18</v>
      </c>
      <c r="E8" s="1">
        <v>69</v>
      </c>
      <c r="F8" s="1">
        <v>33</v>
      </c>
      <c r="G8" s="1"/>
    </row>
    <row r="9" spans="1:7">
      <c r="A9" t="s">
        <v>11</v>
      </c>
      <c r="B9">
        <v>2024</v>
      </c>
      <c r="C9" s="1">
        <v>54</v>
      </c>
      <c r="D9" s="1">
        <v>16</v>
      </c>
      <c r="E9" s="1">
        <v>66</v>
      </c>
      <c r="F9" s="1">
        <v>31</v>
      </c>
      <c r="G9" s="1"/>
    </row>
    <row r="10" spans="1:7">
      <c r="A10" t="s">
        <v>10</v>
      </c>
      <c r="B10">
        <v>2023</v>
      </c>
      <c r="C10" s="1">
        <v>52</v>
      </c>
      <c r="D10" s="1">
        <v>15</v>
      </c>
      <c r="E10" s="1">
        <v>65</v>
      </c>
      <c r="F10" s="1">
        <v>30</v>
      </c>
      <c r="G10" s="1"/>
    </row>
    <row r="11" spans="1:7">
      <c r="A11" t="s">
        <v>11</v>
      </c>
      <c r="B11">
        <v>2023</v>
      </c>
      <c r="C11" s="1">
        <v>49</v>
      </c>
      <c r="D11" s="1">
        <v>13</v>
      </c>
      <c r="E11" s="1">
        <v>62</v>
      </c>
      <c r="F11" s="1">
        <v>28</v>
      </c>
      <c r="G11" s="1"/>
    </row>
    <row r="12" spans="1:7">
      <c r="A12" t="s">
        <v>10</v>
      </c>
      <c r="B12">
        <v>2022</v>
      </c>
      <c r="C12" s="1">
        <v>48</v>
      </c>
      <c r="D12" s="1">
        <v>12</v>
      </c>
      <c r="E12" s="1">
        <v>61</v>
      </c>
      <c r="F12" s="1">
        <v>27</v>
      </c>
      <c r="G12" s="1"/>
    </row>
    <row r="13" spans="1:7">
      <c r="A13" t="s">
        <v>11</v>
      </c>
      <c r="B13">
        <v>2022</v>
      </c>
      <c r="C13" s="1">
        <v>44</v>
      </c>
      <c r="D13" s="1">
        <v>10</v>
      </c>
      <c r="E13" s="1">
        <v>58</v>
      </c>
      <c r="F13" s="1">
        <v>24</v>
      </c>
      <c r="G13" s="1"/>
    </row>
    <row r="15" spans="1:7">
      <c r="A15" s="3" t="s">
        <v>12</v>
      </c>
      <c r="B15" s="68" t="s">
        <v>13</v>
      </c>
      <c r="C15" s="69"/>
      <c r="D15" s="69"/>
      <c r="E15" s="69"/>
      <c r="F15" s="69"/>
    </row>
    <row r="16" spans="1:7">
      <c r="A16" s="2" t="s">
        <v>14</v>
      </c>
    </row>
    <row r="17" spans="1:2">
      <c r="A17">
        <f>COUNTA(A2:A13)</f>
        <v>12</v>
      </c>
      <c r="B17" t="s">
        <v>15</v>
      </c>
    </row>
    <row r="18" spans="1:2">
      <c r="A18">
        <f>COUNT(B2:B13)</f>
        <v>12</v>
      </c>
      <c r="B18" t="s">
        <v>16</v>
      </c>
    </row>
    <row r="19" spans="1:2">
      <c r="A19" s="1">
        <f>MIN(C2:C13)</f>
        <v>44</v>
      </c>
      <c r="B19" t="s">
        <v>17</v>
      </c>
    </row>
    <row r="20" spans="1:2">
      <c r="A20" s="1">
        <f>MAX(D2:D13)</f>
        <v>35</v>
      </c>
      <c r="B20" t="s">
        <v>18</v>
      </c>
    </row>
  </sheetData>
  <mergeCells count="1">
    <mergeCell ref="B15:F1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7138-A41E-476F-AF50-E93B526A1C31}">
  <dimension ref="A1:P26"/>
  <sheetViews>
    <sheetView workbookViewId="0">
      <selection activeCell="D18" sqref="D18"/>
    </sheetView>
  </sheetViews>
  <sheetFormatPr defaultRowHeight="15"/>
  <cols>
    <col min="1" max="1" width="13.5703125" bestFit="1" customWidth="1"/>
    <col min="2" max="2" width="21" bestFit="1" customWidth="1"/>
    <col min="3" max="3" width="22.42578125" bestFit="1" customWidth="1"/>
    <col min="4" max="4" width="21.5703125" bestFit="1" customWidth="1"/>
    <col min="5" max="5" width="16.5703125" bestFit="1" customWidth="1"/>
    <col min="8" max="8" width="11" customWidth="1"/>
    <col min="9" max="9" width="12.5703125" bestFit="1" customWidth="1"/>
    <col min="10" max="10" width="48.140625" bestFit="1" customWidth="1"/>
  </cols>
  <sheetData>
    <row r="1" spans="1:16">
      <c r="A1" s="28" t="s">
        <v>19</v>
      </c>
      <c r="B1" t="s">
        <v>20</v>
      </c>
      <c r="C1" t="s">
        <v>21</v>
      </c>
      <c r="D1" t="s">
        <v>22</v>
      </c>
      <c r="E1" s="14" t="s">
        <v>23</v>
      </c>
    </row>
    <row r="2" spans="1:16">
      <c r="A2" t="s">
        <v>24</v>
      </c>
      <c r="B2">
        <v>18000</v>
      </c>
      <c r="C2">
        <v>8</v>
      </c>
      <c r="D2">
        <v>600</v>
      </c>
      <c r="E2" s="14" t="str">
        <f>IF(B2&gt;=30000,"At/above 30,000","Below 30,000")</f>
        <v>Below 30,000</v>
      </c>
    </row>
    <row r="3" spans="1:16" ht="15.75">
      <c r="A3" t="s">
        <v>25</v>
      </c>
      <c r="B3">
        <v>25000</v>
      </c>
      <c r="C3">
        <v>12</v>
      </c>
      <c r="D3">
        <v>800</v>
      </c>
      <c r="E3" s="14" t="str">
        <f t="shared" ref="E3:E13" si="0">IF(B3&gt;=30000,"At/above 30,000","Below 30,000")</f>
        <v>Below 30,000</v>
      </c>
      <c r="H3" s="15" t="s">
        <v>26</v>
      </c>
      <c r="I3" s="5" t="s">
        <v>27</v>
      </c>
      <c r="J3" s="5" t="s">
        <v>28</v>
      </c>
    </row>
    <row r="4" spans="1:16">
      <c r="A4" t="s">
        <v>29</v>
      </c>
      <c r="B4">
        <v>32000</v>
      </c>
      <c r="C4">
        <v>18</v>
      </c>
      <c r="D4">
        <v>1000</v>
      </c>
      <c r="E4" s="14" t="str">
        <f t="shared" si="0"/>
        <v>At/above 30,000</v>
      </c>
      <c r="H4" t="s">
        <v>30</v>
      </c>
      <c r="I4" s="31">
        <f>SUM(B2:B13)</f>
        <v>367000</v>
      </c>
      <c r="J4" t="s">
        <v>31</v>
      </c>
    </row>
    <row r="5" spans="1:16">
      <c r="A5" t="s">
        <v>32</v>
      </c>
      <c r="B5">
        <v>22000</v>
      </c>
      <c r="C5">
        <v>10</v>
      </c>
      <c r="D5">
        <v>700</v>
      </c>
      <c r="E5" s="14" t="str">
        <f t="shared" si="0"/>
        <v>Below 30,000</v>
      </c>
      <c r="H5" t="s">
        <v>33</v>
      </c>
      <c r="I5" s="8">
        <f>AVERAGE(B2:B13)</f>
        <v>30583.333333333332</v>
      </c>
      <c r="J5" t="s">
        <v>34</v>
      </c>
    </row>
    <row r="6" spans="1:16">
      <c r="A6" t="s">
        <v>35</v>
      </c>
      <c r="B6">
        <v>45000</v>
      </c>
      <c r="C6">
        <v>25</v>
      </c>
      <c r="D6">
        <v>1500</v>
      </c>
      <c r="E6" s="14" t="str">
        <f t="shared" si="0"/>
        <v>At/above 30,000</v>
      </c>
      <c r="H6" t="s">
        <v>36</v>
      </c>
      <c r="I6" s="31">
        <f>COUNT(B2:B13)</f>
        <v>12</v>
      </c>
      <c r="J6" t="s">
        <v>37</v>
      </c>
    </row>
    <row r="7" spans="1:16">
      <c r="A7" t="s">
        <v>38</v>
      </c>
      <c r="B7">
        <v>28000</v>
      </c>
      <c r="C7">
        <v>15</v>
      </c>
      <c r="D7">
        <v>900</v>
      </c>
      <c r="E7" s="14" t="str">
        <f t="shared" si="0"/>
        <v>Below 30,000</v>
      </c>
      <c r="H7" t="s">
        <v>39</v>
      </c>
      <c r="I7" s="31">
        <f>MIN(B2:B13)</f>
        <v>15000</v>
      </c>
      <c r="J7" t="s">
        <v>40</v>
      </c>
    </row>
    <row r="8" spans="1:16">
      <c r="A8" t="s">
        <v>41</v>
      </c>
      <c r="B8">
        <v>15000</v>
      </c>
      <c r="C8">
        <v>5</v>
      </c>
      <c r="D8">
        <v>500</v>
      </c>
      <c r="E8" s="14" t="str">
        <f t="shared" si="0"/>
        <v>Below 30,000</v>
      </c>
      <c r="H8" t="s">
        <v>42</v>
      </c>
      <c r="I8" s="31">
        <f>MAX(B2:B13)</f>
        <v>52000</v>
      </c>
      <c r="J8" t="s">
        <v>43</v>
      </c>
    </row>
    <row r="9" spans="1:16">
      <c r="A9" t="s">
        <v>44</v>
      </c>
      <c r="B9">
        <v>36000</v>
      </c>
      <c r="C9">
        <v>20</v>
      </c>
      <c r="D9">
        <v>1200</v>
      </c>
      <c r="E9" s="14" t="str">
        <f t="shared" si="0"/>
        <v>At/above 30,000</v>
      </c>
      <c r="H9" t="s">
        <v>45</v>
      </c>
      <c r="I9" s="31">
        <f>MEDIAN(B2:B13)</f>
        <v>29000</v>
      </c>
      <c r="J9" s="31" t="s">
        <v>46</v>
      </c>
    </row>
    <row r="10" spans="1:16">
      <c r="A10" t="s">
        <v>47</v>
      </c>
      <c r="B10">
        <v>30000</v>
      </c>
      <c r="C10">
        <v>16</v>
      </c>
      <c r="D10">
        <v>1000</v>
      </c>
      <c r="E10" s="14" t="str">
        <f t="shared" si="0"/>
        <v>At/above 30,000</v>
      </c>
      <c r="H10" s="7"/>
      <c r="I10" s="7"/>
      <c r="J10" s="7"/>
    </row>
    <row r="11" spans="1:16">
      <c r="A11" t="s">
        <v>48</v>
      </c>
      <c r="B11">
        <v>52000</v>
      </c>
      <c r="C11">
        <v>30</v>
      </c>
      <c r="D11">
        <v>1800</v>
      </c>
      <c r="E11" s="14" t="str">
        <f t="shared" si="0"/>
        <v>At/above 30,000</v>
      </c>
      <c r="H11" s="71" t="s">
        <v>49</v>
      </c>
      <c r="I11" s="71"/>
      <c r="J11" s="71"/>
    </row>
    <row r="12" spans="1:16">
      <c r="A12" t="s">
        <v>50</v>
      </c>
      <c r="B12">
        <v>24000</v>
      </c>
      <c r="C12">
        <v>11</v>
      </c>
      <c r="D12">
        <v>750</v>
      </c>
      <c r="E12" s="14" t="str">
        <f t="shared" si="0"/>
        <v>Below 30,000</v>
      </c>
      <c r="H12" s="71"/>
      <c r="I12" s="71"/>
      <c r="J12" s="71"/>
    </row>
    <row r="13" spans="1:16">
      <c r="A13" t="s">
        <v>51</v>
      </c>
      <c r="B13">
        <v>40000</v>
      </c>
      <c r="C13">
        <v>22</v>
      </c>
      <c r="D13">
        <v>1300</v>
      </c>
      <c r="E13" s="14" t="str">
        <f t="shared" si="0"/>
        <v>At/above 30,000</v>
      </c>
      <c r="H13" s="71"/>
      <c r="I13" s="71"/>
      <c r="J13" s="71"/>
    </row>
    <row r="16" spans="1:16">
      <c r="H16" s="4" t="s">
        <v>52</v>
      </c>
      <c r="I16" t="s">
        <v>53</v>
      </c>
      <c r="P16" s="6"/>
    </row>
    <row r="17" spans="2:10">
      <c r="H17" s="72" t="s">
        <v>54</v>
      </c>
      <c r="I17" s="72"/>
      <c r="J17" s="72"/>
    </row>
    <row r="18" spans="2:10" ht="15.75">
      <c r="B18" s="73" t="s">
        <v>55</v>
      </c>
      <c r="C18" s="74"/>
      <c r="H18" s="72"/>
      <c r="I18" s="72"/>
      <c r="J18" s="72"/>
    </row>
    <row r="20" spans="2:10">
      <c r="H20" s="10" t="s">
        <v>56</v>
      </c>
    </row>
    <row r="21" spans="2:10">
      <c r="H21" s="9" t="s">
        <v>57</v>
      </c>
    </row>
    <row r="22" spans="2:10">
      <c r="H22" s="9"/>
    </row>
    <row r="23" spans="2:10">
      <c r="H23" t="s">
        <v>58</v>
      </c>
    </row>
    <row r="24" spans="2:10" ht="15" customHeight="1">
      <c r="H24" s="70" t="s">
        <v>59</v>
      </c>
      <c r="I24" s="70"/>
      <c r="J24" s="70"/>
    </row>
    <row r="25" spans="2:10">
      <c r="H25" s="70"/>
      <c r="I25" s="70"/>
      <c r="J25" s="70"/>
    </row>
    <row r="26" spans="2:10">
      <c r="H26" s="70"/>
      <c r="I26" s="70"/>
      <c r="J26" s="70"/>
    </row>
  </sheetData>
  <mergeCells count="4">
    <mergeCell ref="H24:J26"/>
    <mergeCell ref="H11:J13"/>
    <mergeCell ref="H17:J18"/>
    <mergeCell ref="B18:C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6BF1-5B21-4366-9BE1-BE592D9A30B0}">
  <dimension ref="A1:I28"/>
  <sheetViews>
    <sheetView workbookViewId="0">
      <selection activeCell="H4" sqref="H4"/>
    </sheetView>
  </sheetViews>
  <sheetFormatPr defaultRowHeight="15"/>
  <cols>
    <col min="1" max="1" width="22.5703125" bestFit="1" customWidth="1"/>
    <col min="2" max="2" width="14" bestFit="1" customWidth="1"/>
  </cols>
  <sheetData>
    <row r="1" spans="1:9">
      <c r="A1" s="4" t="s">
        <v>60</v>
      </c>
      <c r="B1" s="4" t="s">
        <v>27</v>
      </c>
    </row>
    <row r="2" spans="1:9">
      <c r="A2" t="s">
        <v>61</v>
      </c>
      <c r="B2" s="11">
        <f>SUM(Day3_Practice!B2:B13)</f>
        <v>367000</v>
      </c>
    </row>
    <row r="3" spans="1:9">
      <c r="A3" t="s">
        <v>62</v>
      </c>
      <c r="B3" s="13">
        <f>AVERAGE(Day3_Practice!B2:B13)</f>
        <v>30583.333333333332</v>
      </c>
    </row>
    <row r="4" spans="1:9" ht="15.75">
      <c r="A4" t="s">
        <v>63</v>
      </c>
      <c r="B4" s="12">
        <f>COUNT(Day3_Practice!B2:B13)</f>
        <v>12</v>
      </c>
      <c r="D4" s="28"/>
      <c r="E4" s="73" t="s">
        <v>55</v>
      </c>
      <c r="F4" s="73"/>
      <c r="G4" s="73"/>
    </row>
    <row r="5" spans="1:9">
      <c r="A5" t="s">
        <v>64</v>
      </c>
      <c r="B5" s="11">
        <f>MIN(Day3_Practice!B2:B13)</f>
        <v>15000</v>
      </c>
    </row>
    <row r="6" spans="1:9">
      <c r="A6" t="s">
        <v>65</v>
      </c>
      <c r="B6" s="11">
        <f>MAX(Day3_Practice!B2:B13)</f>
        <v>52000</v>
      </c>
    </row>
    <row r="7" spans="1:9">
      <c r="A7" t="s">
        <v>66</v>
      </c>
      <c r="B7" s="11">
        <f>MEDIAN(Day3_Practice!B2:B13)</f>
        <v>29000</v>
      </c>
    </row>
    <row r="10" spans="1:9">
      <c r="A10" s="16" t="s">
        <v>67</v>
      </c>
    </row>
    <row r="11" spans="1:9" ht="15" customHeight="1">
      <c r="A11" s="75" t="s">
        <v>68</v>
      </c>
      <c r="B11" s="76"/>
      <c r="C11" s="76"/>
      <c r="D11" s="76"/>
      <c r="E11" s="76"/>
      <c r="F11" s="76"/>
      <c r="G11" s="76"/>
      <c r="H11" s="76"/>
      <c r="I11" s="76"/>
    </row>
    <row r="12" spans="1:9">
      <c r="A12" s="76"/>
      <c r="B12" s="76"/>
      <c r="C12" s="76"/>
      <c r="D12" s="76"/>
      <c r="E12" s="76"/>
      <c r="F12" s="76"/>
      <c r="G12" s="76"/>
      <c r="H12" s="76"/>
      <c r="I12" s="76"/>
    </row>
    <row r="13" spans="1:9">
      <c r="A13" s="76"/>
      <c r="B13" s="76"/>
      <c r="C13" s="76"/>
      <c r="D13" s="76"/>
      <c r="E13" s="76"/>
      <c r="F13" s="76"/>
      <c r="G13" s="76"/>
      <c r="H13" s="76"/>
      <c r="I13" s="76"/>
    </row>
    <row r="14" spans="1:9">
      <c r="A14" s="76"/>
      <c r="B14" s="76"/>
      <c r="C14" s="76"/>
      <c r="D14" s="76"/>
      <c r="E14" s="76"/>
      <c r="F14" s="76"/>
      <c r="G14" s="76"/>
      <c r="H14" s="76"/>
      <c r="I14" s="76"/>
    </row>
    <row r="15" spans="1:9">
      <c r="A15" s="76"/>
      <c r="B15" s="76"/>
      <c r="C15" s="76"/>
      <c r="D15" s="76"/>
      <c r="E15" s="76"/>
      <c r="F15" s="76"/>
      <c r="G15" s="76"/>
      <c r="H15" s="76"/>
      <c r="I15" s="76"/>
    </row>
    <row r="17" spans="1:9">
      <c r="A17" s="17" t="s">
        <v>69</v>
      </c>
      <c r="B17" s="17"/>
      <c r="C17" s="17"/>
      <c r="D17" s="17"/>
      <c r="E17" s="17"/>
      <c r="F17" s="17"/>
    </row>
    <row r="18" spans="1:9" ht="15" customHeight="1">
      <c r="A18" s="75" t="s">
        <v>70</v>
      </c>
      <c r="B18" s="76"/>
      <c r="C18" s="76"/>
      <c r="D18" s="76"/>
      <c r="E18" s="76"/>
      <c r="F18" s="76"/>
      <c r="G18" s="76"/>
      <c r="H18" s="76"/>
      <c r="I18" s="76"/>
    </row>
    <row r="19" spans="1:9">
      <c r="A19" s="76"/>
      <c r="B19" s="76"/>
      <c r="C19" s="76"/>
      <c r="D19" s="76"/>
      <c r="E19" s="76"/>
      <c r="F19" s="76"/>
      <c r="G19" s="76"/>
      <c r="H19" s="76"/>
      <c r="I19" s="76"/>
    </row>
    <row r="20" spans="1:9">
      <c r="A20" s="76"/>
      <c r="B20" s="76"/>
      <c r="C20" s="76"/>
      <c r="D20" s="76"/>
      <c r="E20" s="76"/>
      <c r="F20" s="76"/>
      <c r="G20" s="76"/>
      <c r="H20" s="76"/>
      <c r="I20" s="76"/>
    </row>
    <row r="21" spans="1:9">
      <c r="A21" s="76"/>
      <c r="B21" s="76"/>
      <c r="C21" s="76"/>
      <c r="D21" s="76"/>
      <c r="E21" s="76"/>
      <c r="F21" s="76"/>
      <c r="G21" s="76"/>
      <c r="H21" s="76"/>
      <c r="I21" s="76"/>
    </row>
    <row r="23" spans="1:9">
      <c r="A23" s="17" t="s">
        <v>71</v>
      </c>
      <c r="B23" s="17"/>
      <c r="C23" s="17"/>
      <c r="D23" s="17"/>
      <c r="E23" s="17"/>
      <c r="F23" s="17"/>
      <c r="G23" s="17"/>
    </row>
    <row r="24" spans="1:9">
      <c r="A24" s="75" t="s">
        <v>72</v>
      </c>
      <c r="B24" s="76"/>
      <c r="C24" s="76"/>
      <c r="D24" s="76"/>
      <c r="E24" s="76"/>
      <c r="F24" s="76"/>
      <c r="G24" s="76"/>
      <c r="H24" s="76"/>
      <c r="I24" s="76"/>
    </row>
    <row r="25" spans="1:9">
      <c r="A25" s="76"/>
      <c r="B25" s="76"/>
      <c r="C25" s="76"/>
      <c r="D25" s="76"/>
      <c r="E25" s="76"/>
      <c r="F25" s="76"/>
      <c r="G25" s="76"/>
      <c r="H25" s="76"/>
      <c r="I25" s="76"/>
    </row>
    <row r="26" spans="1:9">
      <c r="A26" s="76"/>
      <c r="B26" s="76"/>
      <c r="C26" s="76"/>
      <c r="D26" s="76"/>
      <c r="E26" s="76"/>
      <c r="F26" s="76"/>
      <c r="G26" s="76"/>
      <c r="H26" s="76"/>
      <c r="I26" s="76"/>
    </row>
    <row r="27" spans="1:9">
      <c r="A27" s="76"/>
      <c r="B27" s="76"/>
      <c r="C27" s="76"/>
      <c r="D27" s="76"/>
      <c r="E27" s="76"/>
      <c r="F27" s="76"/>
      <c r="G27" s="76"/>
      <c r="H27" s="76"/>
      <c r="I27" s="76"/>
    </row>
    <row r="28" spans="1:9">
      <c r="A28" s="76"/>
      <c r="B28" s="76"/>
      <c r="C28" s="76"/>
      <c r="D28" s="76"/>
      <c r="E28" s="76"/>
      <c r="F28" s="76"/>
      <c r="G28" s="76"/>
      <c r="H28" s="76"/>
      <c r="I28" s="76"/>
    </row>
  </sheetData>
  <mergeCells count="4">
    <mergeCell ref="A11:I15"/>
    <mergeCell ref="A18:I21"/>
    <mergeCell ref="A24:I28"/>
    <mergeCell ref="E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AE08-F1E2-4317-8AB6-8518BE65A4BB}">
  <dimension ref="A1:O43"/>
  <sheetViews>
    <sheetView topLeftCell="D30" workbookViewId="0">
      <selection activeCell="H20" sqref="H20:I22"/>
    </sheetView>
  </sheetViews>
  <sheetFormatPr defaultRowHeight="15"/>
  <cols>
    <col min="1" max="1" width="7.28515625" customWidth="1"/>
    <col min="2" max="2" width="13.7109375" customWidth="1"/>
    <col min="3" max="3" width="16.28515625" bestFit="1" customWidth="1"/>
    <col min="4" max="4" width="22.7109375" customWidth="1"/>
    <col min="5" max="5" width="20" style="19" customWidth="1"/>
    <col min="8" max="8" width="10.7109375" customWidth="1"/>
    <col min="9" max="9" width="15.42578125" customWidth="1"/>
    <col min="10" max="10" width="12.5703125" customWidth="1"/>
    <col min="11" max="11" width="14.7109375" customWidth="1"/>
  </cols>
  <sheetData>
    <row r="1" spans="1:15">
      <c r="A1" s="4" t="s">
        <v>73</v>
      </c>
      <c r="B1" s="4" t="s">
        <v>74</v>
      </c>
      <c r="C1" s="4" t="s">
        <v>75</v>
      </c>
      <c r="D1" s="4" t="s">
        <v>76</v>
      </c>
      <c r="E1" s="18" t="s">
        <v>77</v>
      </c>
      <c r="H1" s="35" t="s">
        <v>78</v>
      </c>
      <c r="I1" s="4"/>
      <c r="J1" s="4"/>
      <c r="K1" s="4"/>
      <c r="L1" s="4" t="s">
        <v>28</v>
      </c>
    </row>
    <row r="2" spans="1:15">
      <c r="A2" s="31">
        <v>101</v>
      </c>
      <c r="B2" t="s">
        <v>79</v>
      </c>
      <c r="C2" s="31">
        <v>80</v>
      </c>
      <c r="D2" s="31">
        <v>30000</v>
      </c>
      <c r="E2" s="33" t="s">
        <v>80</v>
      </c>
      <c r="H2" s="4" t="s">
        <v>81</v>
      </c>
      <c r="I2" s="10" t="s">
        <v>82</v>
      </c>
      <c r="J2" s="10"/>
      <c r="L2" t="s">
        <v>83</v>
      </c>
    </row>
    <row r="3" spans="1:15">
      <c r="A3" s="31">
        <v>102</v>
      </c>
      <c r="B3" t="s">
        <v>84</v>
      </c>
      <c r="C3" s="31">
        <v>65</v>
      </c>
      <c r="D3" s="31">
        <v>24000</v>
      </c>
      <c r="E3" s="33" t="s">
        <v>80</v>
      </c>
    </row>
    <row r="4" spans="1:15">
      <c r="A4" s="31">
        <v>103</v>
      </c>
      <c r="B4" t="s">
        <v>85</v>
      </c>
      <c r="C4" s="31">
        <v>45</v>
      </c>
      <c r="D4" s="31">
        <v>18000</v>
      </c>
      <c r="E4" s="33" t="s">
        <v>86</v>
      </c>
      <c r="H4" s="83" t="s">
        <v>87</v>
      </c>
      <c r="I4" s="83"/>
      <c r="J4" s="21" t="s">
        <v>88</v>
      </c>
      <c r="K4" s="21"/>
      <c r="L4" s="21"/>
      <c r="M4" s="21" t="s">
        <v>27</v>
      </c>
    </row>
    <row r="5" spans="1:15">
      <c r="A5" s="31">
        <v>104</v>
      </c>
      <c r="B5" t="s">
        <v>79</v>
      </c>
      <c r="C5" s="31">
        <v>90</v>
      </c>
      <c r="D5" s="31">
        <v>35000</v>
      </c>
      <c r="E5" s="33" t="s">
        <v>80</v>
      </c>
      <c r="G5">
        <v>1</v>
      </c>
      <c r="H5" t="s">
        <v>89</v>
      </c>
      <c r="J5" s="10" t="s">
        <v>90</v>
      </c>
      <c r="M5">
        <f>SUMIF(B2:B11,"Dhaka",D2:D11)</f>
        <v>97000</v>
      </c>
    </row>
    <row r="6" spans="1:15">
      <c r="A6" s="31">
        <v>105</v>
      </c>
      <c r="B6" t="s">
        <v>91</v>
      </c>
      <c r="C6" s="31">
        <v>55</v>
      </c>
      <c r="D6" s="31">
        <v>20000</v>
      </c>
      <c r="E6" s="33" t="s">
        <v>86</v>
      </c>
      <c r="G6">
        <v>2</v>
      </c>
      <c r="H6" t="s">
        <v>92</v>
      </c>
      <c r="J6" s="10" t="s">
        <v>93</v>
      </c>
      <c r="M6">
        <f>SUMIF(B2:B11,"Chattogram",D2:D11)</f>
        <v>69000</v>
      </c>
    </row>
    <row r="7" spans="1:15">
      <c r="A7" s="31">
        <v>106</v>
      </c>
      <c r="B7" t="s">
        <v>84</v>
      </c>
      <c r="C7" s="31">
        <v>70</v>
      </c>
      <c r="D7" s="31">
        <v>26000</v>
      </c>
      <c r="E7" s="33" t="s">
        <v>80</v>
      </c>
      <c r="G7">
        <v>3</v>
      </c>
      <c r="H7" s="79" t="s">
        <v>94</v>
      </c>
      <c r="I7" s="79"/>
      <c r="J7" s="87" t="s">
        <v>95</v>
      </c>
      <c r="K7" s="88"/>
      <c r="L7" s="85"/>
      <c r="M7" s="97">
        <f>SUMIF(E2:E11,"Yes",D2:D11)</f>
        <v>169000</v>
      </c>
    </row>
    <row r="8" spans="1:15">
      <c r="A8" s="31">
        <v>107</v>
      </c>
      <c r="B8" t="s">
        <v>85</v>
      </c>
      <c r="C8" s="31">
        <v>40</v>
      </c>
      <c r="D8" s="31">
        <v>16000</v>
      </c>
      <c r="E8" s="33" t="s">
        <v>86</v>
      </c>
      <c r="H8" s="79"/>
      <c r="I8" s="79"/>
      <c r="J8" s="88"/>
      <c r="K8" s="88"/>
      <c r="L8" s="85"/>
      <c r="M8" s="97"/>
    </row>
    <row r="9" spans="1:15">
      <c r="A9" s="31">
        <v>108</v>
      </c>
      <c r="B9" t="s">
        <v>79</v>
      </c>
      <c r="C9" s="31">
        <v>85</v>
      </c>
      <c r="D9" s="31">
        <v>32000</v>
      </c>
      <c r="E9" s="33" t="s">
        <v>80</v>
      </c>
      <c r="G9">
        <v>4</v>
      </c>
      <c r="H9" s="76" t="s">
        <v>96</v>
      </c>
      <c r="I9" s="76"/>
      <c r="J9" s="92" t="s">
        <v>97</v>
      </c>
      <c r="K9" s="98"/>
      <c r="L9" s="85"/>
      <c r="M9" s="85">
        <f>SUMIF(D2:D11,"&gt;25000")</f>
        <v>123000</v>
      </c>
    </row>
    <row r="10" spans="1:15">
      <c r="A10" s="31">
        <v>109</v>
      </c>
      <c r="B10" t="s">
        <v>91</v>
      </c>
      <c r="C10" s="31">
        <v>60</v>
      </c>
      <c r="D10" s="31">
        <v>22000</v>
      </c>
      <c r="E10" s="33" t="s">
        <v>80</v>
      </c>
      <c r="H10" s="76"/>
      <c r="I10" s="76"/>
      <c r="J10" s="98"/>
      <c r="K10" s="98"/>
      <c r="L10" s="85"/>
      <c r="M10" s="85"/>
    </row>
    <row r="11" spans="1:15">
      <c r="A11" s="31">
        <v>110</v>
      </c>
      <c r="B11" t="s">
        <v>84</v>
      </c>
      <c r="C11" s="31">
        <v>50</v>
      </c>
      <c r="D11" s="31">
        <v>19000</v>
      </c>
      <c r="E11" s="33" t="s">
        <v>86</v>
      </c>
      <c r="G11">
        <v>5</v>
      </c>
      <c r="H11" t="s">
        <v>98</v>
      </c>
      <c r="J11" s="94" t="s">
        <v>99</v>
      </c>
      <c r="K11" s="85"/>
      <c r="M11">
        <f>SUMIF(B2:B11,"Dhaka",C2:C11)</f>
        <v>255</v>
      </c>
    </row>
    <row r="13" spans="1:15" ht="15.75">
      <c r="C13" s="73" t="s">
        <v>55</v>
      </c>
      <c r="D13" s="74"/>
      <c r="E13" s="33"/>
    </row>
    <row r="14" spans="1:15" ht="15.75">
      <c r="C14" s="29"/>
      <c r="D14" s="30"/>
      <c r="E14" s="33"/>
    </row>
    <row r="15" spans="1:15">
      <c r="B15" s="91" t="s">
        <v>78</v>
      </c>
      <c r="C15" s="91"/>
      <c r="E15" s="4" t="s">
        <v>28</v>
      </c>
      <c r="H15" s="35" t="s">
        <v>78</v>
      </c>
      <c r="I15" s="4"/>
      <c r="J15" s="4"/>
      <c r="K15" s="4"/>
      <c r="L15" s="4" t="s">
        <v>28</v>
      </c>
    </row>
    <row r="16" spans="1:15" ht="15" customHeight="1">
      <c r="B16" s="4" t="s">
        <v>100</v>
      </c>
      <c r="C16" s="10" t="s">
        <v>101</v>
      </c>
      <c r="E16" t="s">
        <v>102</v>
      </c>
      <c r="H16" s="4" t="s">
        <v>103</v>
      </c>
      <c r="I16" s="84" t="s">
        <v>104</v>
      </c>
      <c r="J16" s="84"/>
      <c r="K16" s="84"/>
      <c r="L16" s="81" t="s">
        <v>105</v>
      </c>
      <c r="M16" s="81"/>
      <c r="N16" s="81"/>
      <c r="O16" s="81"/>
    </row>
    <row r="17" spans="1:15">
      <c r="C17" s="10"/>
      <c r="E17"/>
      <c r="I17" s="84"/>
      <c r="J17" s="84"/>
      <c r="K17" s="84"/>
      <c r="L17" s="81"/>
      <c r="M17" s="81"/>
      <c r="N17" s="81"/>
      <c r="O17" s="81"/>
    </row>
    <row r="18" spans="1:15">
      <c r="B18" s="21" t="s">
        <v>106</v>
      </c>
      <c r="C18" s="21"/>
      <c r="D18" s="21" t="s">
        <v>88</v>
      </c>
      <c r="E18" s="22"/>
      <c r="F18" s="21" t="s">
        <v>27</v>
      </c>
    </row>
    <row r="19" spans="1:15">
      <c r="A19">
        <v>1</v>
      </c>
      <c r="B19" t="s">
        <v>107</v>
      </c>
      <c r="D19" s="10" t="s">
        <v>108</v>
      </c>
      <c r="E19" s="33"/>
      <c r="F19" s="23">
        <f>COUNTIF(B2:B11,"Dhaka")</f>
        <v>3</v>
      </c>
      <c r="H19" s="83" t="s">
        <v>106</v>
      </c>
      <c r="I19" s="83"/>
      <c r="J19" s="21" t="s">
        <v>88</v>
      </c>
      <c r="K19" s="21"/>
      <c r="L19" s="21"/>
      <c r="M19" s="21" t="s">
        <v>27</v>
      </c>
    </row>
    <row r="20" spans="1:15">
      <c r="A20">
        <v>2</v>
      </c>
      <c r="B20" s="79" t="s">
        <v>109</v>
      </c>
      <c r="C20" s="79"/>
      <c r="D20" s="92" t="s">
        <v>110</v>
      </c>
      <c r="E20" s="78"/>
      <c r="F20" s="93">
        <f>COUNTIF(E2:E11,"Yes")</f>
        <v>6</v>
      </c>
      <c r="G20">
        <v>1</v>
      </c>
      <c r="H20" s="81" t="s">
        <v>111</v>
      </c>
      <c r="I20" s="81"/>
      <c r="J20" s="86" t="s">
        <v>112</v>
      </c>
      <c r="K20" s="81"/>
      <c r="L20" s="85"/>
      <c r="M20" s="78">
        <f>COUNTIFS(B2:B11,"Chattogram",E2:E11,"Yes")</f>
        <v>2</v>
      </c>
    </row>
    <row r="21" spans="1:15">
      <c r="B21" s="79"/>
      <c r="C21" s="79"/>
      <c r="D21" s="92"/>
      <c r="E21" s="78"/>
      <c r="F21" s="93"/>
      <c r="H21" s="81"/>
      <c r="I21" s="81"/>
      <c r="J21" s="81"/>
      <c r="K21" s="81"/>
      <c r="L21" s="85"/>
      <c r="M21" s="78"/>
    </row>
    <row r="22" spans="1:15">
      <c r="A22">
        <v>3</v>
      </c>
      <c r="B22" s="79" t="s">
        <v>113</v>
      </c>
      <c r="C22" s="79"/>
      <c r="D22" s="89" t="s">
        <v>114</v>
      </c>
      <c r="E22" s="78"/>
      <c r="F22" s="78">
        <f>COUNTIF(D2:D11,"&gt;25000")</f>
        <v>4</v>
      </c>
      <c r="H22" s="81"/>
      <c r="I22" s="81"/>
      <c r="J22" s="81"/>
      <c r="K22" s="81"/>
      <c r="L22" s="85"/>
      <c r="M22" s="78"/>
    </row>
    <row r="23" spans="1:15">
      <c r="B23" s="79"/>
      <c r="C23" s="79"/>
      <c r="D23" s="90"/>
      <c r="E23" s="78"/>
      <c r="F23" s="78"/>
      <c r="G23">
        <v>2</v>
      </c>
      <c r="H23" s="76" t="s">
        <v>115</v>
      </c>
      <c r="I23" s="76"/>
      <c r="J23" s="80" t="s">
        <v>116</v>
      </c>
      <c r="K23" s="80"/>
      <c r="L23" s="69"/>
      <c r="M23" s="78">
        <f>COUNTIFS(B2:B11,"Dhaka",E2:E11,"Yes")</f>
        <v>3</v>
      </c>
    </row>
    <row r="24" spans="1:15">
      <c r="A24">
        <v>4</v>
      </c>
      <c r="B24" s="79" t="s">
        <v>117</v>
      </c>
      <c r="C24" s="79"/>
      <c r="D24" s="87" t="s">
        <v>118</v>
      </c>
      <c r="E24" s="78"/>
      <c r="F24" s="78">
        <f>COUNTIF(E2:E11,"No")</f>
        <v>4</v>
      </c>
      <c r="H24" s="76"/>
      <c r="I24" s="76"/>
      <c r="J24" s="80"/>
      <c r="K24" s="80"/>
      <c r="L24" s="69"/>
      <c r="M24" s="78"/>
    </row>
    <row r="25" spans="1:15">
      <c r="B25" s="79"/>
      <c r="C25" s="79"/>
      <c r="D25" s="87"/>
      <c r="E25" s="78"/>
      <c r="F25" s="78"/>
      <c r="G25">
        <v>3</v>
      </c>
      <c r="H25" s="79" t="s">
        <v>119</v>
      </c>
      <c r="I25" s="79"/>
      <c r="J25" s="82" t="s">
        <v>120</v>
      </c>
      <c r="K25" s="96"/>
      <c r="M25" s="78">
        <f>COUNTIFS(D2:D11,"&gt;20000",E2:E11,"Yes")</f>
        <v>6</v>
      </c>
    </row>
    <row r="26" spans="1:15">
      <c r="A26">
        <v>5</v>
      </c>
      <c r="B26" s="79" t="s">
        <v>121</v>
      </c>
      <c r="C26" s="79"/>
      <c r="D26" s="84" t="s">
        <v>122</v>
      </c>
      <c r="E26" s="78"/>
      <c r="F26" s="78">
        <f>COUNTIF(D2:D10,"&lt;20000")</f>
        <v>2</v>
      </c>
      <c r="H26" s="79"/>
      <c r="I26" s="79"/>
      <c r="J26" s="96"/>
      <c r="K26" s="96"/>
      <c r="M26" s="78"/>
    </row>
    <row r="27" spans="1:15">
      <c r="B27" s="79"/>
      <c r="C27" s="79"/>
      <c r="D27" s="95"/>
      <c r="E27" s="78"/>
      <c r="F27" s="78"/>
      <c r="G27">
        <v>4</v>
      </c>
      <c r="H27" s="81" t="s">
        <v>123</v>
      </c>
      <c r="I27" s="81"/>
      <c r="J27" s="77" t="s">
        <v>124</v>
      </c>
      <c r="K27" s="79"/>
      <c r="M27" s="78">
        <f>COUNTIFS(B2:B11,"Rajshahi",E2:E11,"No")</f>
        <v>2</v>
      </c>
    </row>
    <row r="28" spans="1:15">
      <c r="E28" s="33"/>
      <c r="H28" s="81"/>
      <c r="I28" s="81"/>
      <c r="J28" s="79"/>
      <c r="K28" s="79"/>
      <c r="M28" s="78"/>
    </row>
    <row r="29" spans="1:15">
      <c r="E29" s="33"/>
    </row>
    <row r="30" spans="1:15">
      <c r="E30" s="33"/>
    </row>
    <row r="31" spans="1:15">
      <c r="B31" s="35" t="s">
        <v>78</v>
      </c>
      <c r="C31" s="4"/>
      <c r="D31" s="4"/>
      <c r="E31" s="4" t="s">
        <v>28</v>
      </c>
      <c r="H31" s="4" t="s">
        <v>88</v>
      </c>
      <c r="L31" s="4" t="s">
        <v>28</v>
      </c>
    </row>
    <row r="32" spans="1:15">
      <c r="B32" s="4" t="s">
        <v>125</v>
      </c>
      <c r="C32" s="82" t="s">
        <v>126</v>
      </c>
      <c r="D32" s="82"/>
      <c r="E32" s="79" t="s">
        <v>127</v>
      </c>
      <c r="F32" s="79"/>
      <c r="H32" s="4" t="s">
        <v>128</v>
      </c>
      <c r="I32" s="82" t="s">
        <v>129</v>
      </c>
      <c r="J32" s="82"/>
      <c r="K32" s="82"/>
      <c r="L32" s="79" t="s">
        <v>130</v>
      </c>
      <c r="M32" s="79"/>
      <c r="N32" s="79"/>
      <c r="O32" s="79"/>
    </row>
    <row r="33" spans="1:15">
      <c r="C33" s="82"/>
      <c r="D33" s="82"/>
      <c r="E33" s="79"/>
      <c r="F33" s="79"/>
      <c r="I33" s="82"/>
      <c r="J33" s="82"/>
      <c r="K33" s="82"/>
      <c r="L33" s="79"/>
      <c r="M33" s="79"/>
      <c r="N33" s="79"/>
      <c r="O33" s="79"/>
    </row>
    <row r="34" spans="1:15">
      <c r="C34" s="34"/>
      <c r="D34" s="34"/>
      <c r="E34" s="33"/>
    </row>
    <row r="35" spans="1:15">
      <c r="B35" s="83" t="s">
        <v>106</v>
      </c>
      <c r="C35" s="83"/>
      <c r="D35" s="21" t="s">
        <v>88</v>
      </c>
      <c r="E35" s="21"/>
      <c r="F35" s="21" t="s">
        <v>27</v>
      </c>
      <c r="H35" s="83" t="s">
        <v>106</v>
      </c>
      <c r="I35" s="83"/>
      <c r="J35" s="21" t="s">
        <v>88</v>
      </c>
      <c r="K35" s="21"/>
      <c r="L35" s="21"/>
      <c r="M35" s="21" t="s">
        <v>27</v>
      </c>
    </row>
    <row r="36" spans="1:15">
      <c r="A36">
        <v>1</v>
      </c>
      <c r="B36" s="76" t="s">
        <v>131</v>
      </c>
      <c r="C36" s="76"/>
      <c r="D36" s="77" t="s">
        <v>132</v>
      </c>
      <c r="E36" s="78"/>
      <c r="F36" s="78">
        <f>SUMIFS(D2:D11,B2:B11,"Chattogram",E2:E11,"Yes")</f>
        <v>50000</v>
      </c>
      <c r="G36">
        <v>1</v>
      </c>
      <c r="H36" s="81" t="s">
        <v>133</v>
      </c>
      <c r="I36" s="81"/>
      <c r="J36" s="86" t="s">
        <v>134</v>
      </c>
      <c r="K36" s="86"/>
      <c r="M36" s="78">
        <f>_xlfn.XLOOKUP(104,A2:A11,D2:D11,"Not Found")</f>
        <v>35000</v>
      </c>
    </row>
    <row r="37" spans="1:15">
      <c r="B37" s="76"/>
      <c r="C37" s="76"/>
      <c r="D37" s="79"/>
      <c r="E37" s="78"/>
      <c r="F37" s="78"/>
      <c r="H37" s="81"/>
      <c r="I37" s="81"/>
      <c r="J37" s="86"/>
      <c r="K37" s="86"/>
      <c r="M37" s="78"/>
    </row>
    <row r="38" spans="1:15">
      <c r="B38" s="76"/>
      <c r="C38" s="76"/>
      <c r="D38" s="79"/>
      <c r="E38" s="78"/>
      <c r="F38" s="78"/>
      <c r="G38">
        <v>2</v>
      </c>
      <c r="H38" t="s">
        <v>135</v>
      </c>
      <c r="J38" s="10" t="s">
        <v>136</v>
      </c>
      <c r="M38" cm="1">
        <f t="array" aca="1" ref="M38" ca="1">_xlfn.XLOOKUP(101,A2:A11,D2:D11,Null)</f>
        <v>30000</v>
      </c>
    </row>
    <row r="39" spans="1:15">
      <c r="A39">
        <v>2</v>
      </c>
      <c r="B39" s="76" t="s">
        <v>137</v>
      </c>
      <c r="C39" s="76"/>
      <c r="D39" s="87" t="s">
        <v>138</v>
      </c>
      <c r="E39" s="87"/>
      <c r="F39" s="78">
        <f>SUMIFS(D2:D11,B2:B11,"Dhaka",E2:E11,"Yes")</f>
        <v>97000</v>
      </c>
      <c r="G39">
        <v>3</v>
      </c>
      <c r="H39" t="s">
        <v>139</v>
      </c>
      <c r="J39" s="10" t="s">
        <v>140</v>
      </c>
      <c r="M39" t="str" cm="1">
        <f t="array" aca="1" ref="M39" ca="1">_xlfn.XLOOKUP(106,A2:A11,B2:B11,Null)</f>
        <v>Chattogram</v>
      </c>
    </row>
    <row r="40" spans="1:15">
      <c r="B40" s="76"/>
      <c r="C40" s="76"/>
      <c r="D40" s="87"/>
      <c r="E40" s="87"/>
      <c r="F40" s="78"/>
      <c r="G40">
        <v>4</v>
      </c>
      <c r="H40" s="79" t="s">
        <v>141</v>
      </c>
      <c r="I40" s="79"/>
      <c r="J40" s="77" t="s">
        <v>142</v>
      </c>
      <c r="K40" s="77"/>
      <c r="L40" s="85"/>
      <c r="M40" s="78" t="str" cm="1">
        <f t="array" aca="1" ref="M40" ca="1">_xlfn.XLOOKUP(107,A2:A11,E2:E11,Null)</f>
        <v>No</v>
      </c>
    </row>
    <row r="41" spans="1:15">
      <c r="A41">
        <v>3</v>
      </c>
      <c r="B41" t="s">
        <v>143</v>
      </c>
      <c r="D41" s="10" t="s">
        <v>144</v>
      </c>
      <c r="E41" s="33"/>
      <c r="F41" s="33">
        <f>SUMIFS(D2:D11,B2:B11,"Khulna",E2:E11,"No")</f>
        <v>20000</v>
      </c>
      <c r="H41" s="79"/>
      <c r="I41" s="79"/>
      <c r="J41" s="77"/>
      <c r="K41" s="77"/>
      <c r="L41" s="85"/>
      <c r="M41" s="78"/>
    </row>
    <row r="42" spans="1:15">
      <c r="A42">
        <v>4</v>
      </c>
      <c r="B42" s="79" t="s">
        <v>145</v>
      </c>
      <c r="C42" s="79"/>
      <c r="D42" s="80" t="s">
        <v>146</v>
      </c>
      <c r="E42" s="80"/>
      <c r="F42" s="78">
        <f>SUMIFS(C2:C11,B2:B11,"Chattogram",E2:E11,"Yes")</f>
        <v>135</v>
      </c>
      <c r="G42">
        <v>5</v>
      </c>
      <c r="H42" s="69" t="s">
        <v>147</v>
      </c>
      <c r="I42" s="69"/>
      <c r="J42" s="77" t="s">
        <v>148</v>
      </c>
      <c r="K42" s="77"/>
      <c r="M42" s="78" t="str">
        <f>_xlfn.XLOOKUP(999,A2:A11,D2:D11,"Not Found")</f>
        <v>Not Found</v>
      </c>
    </row>
    <row r="43" spans="1:15">
      <c r="B43" s="79"/>
      <c r="C43" s="79"/>
      <c r="D43" s="80"/>
      <c r="E43" s="80"/>
      <c r="F43" s="78"/>
      <c r="J43" s="77"/>
      <c r="K43" s="77"/>
      <c r="M43" s="78"/>
    </row>
  </sheetData>
  <mergeCells count="71">
    <mergeCell ref="L7:L8"/>
    <mergeCell ref="M7:M8"/>
    <mergeCell ref="H9:I10"/>
    <mergeCell ref="J9:K10"/>
    <mergeCell ref="L9:L10"/>
    <mergeCell ref="M9:M10"/>
    <mergeCell ref="J11:K11"/>
    <mergeCell ref="B26:C27"/>
    <mergeCell ref="D26:D27"/>
    <mergeCell ref="F26:F27"/>
    <mergeCell ref="E24:E25"/>
    <mergeCell ref="E26:E27"/>
    <mergeCell ref="H27:I28"/>
    <mergeCell ref="J27:K28"/>
    <mergeCell ref="H23:I24"/>
    <mergeCell ref="J23:K24"/>
    <mergeCell ref="H25:I26"/>
    <mergeCell ref="J25:K26"/>
    <mergeCell ref="H19:I19"/>
    <mergeCell ref="H20:I22"/>
    <mergeCell ref="J20:K22"/>
    <mergeCell ref="C13:D13"/>
    <mergeCell ref="B35:C35"/>
    <mergeCell ref="C32:D33"/>
    <mergeCell ref="H4:I4"/>
    <mergeCell ref="H7:I8"/>
    <mergeCell ref="J7:K8"/>
    <mergeCell ref="B24:C25"/>
    <mergeCell ref="D24:D25"/>
    <mergeCell ref="F24:F25"/>
    <mergeCell ref="B22:C23"/>
    <mergeCell ref="D22:D23"/>
    <mergeCell ref="E22:E23"/>
    <mergeCell ref="F22:F23"/>
    <mergeCell ref="B15:C15"/>
    <mergeCell ref="B20:C21"/>
    <mergeCell ref="D20:D21"/>
    <mergeCell ref="F20:F21"/>
    <mergeCell ref="B36:C38"/>
    <mergeCell ref="D36:D38"/>
    <mergeCell ref="F36:F38"/>
    <mergeCell ref="B39:C40"/>
    <mergeCell ref="D39:E40"/>
    <mergeCell ref="E36:E38"/>
    <mergeCell ref="F39:F40"/>
    <mergeCell ref="H36:I37"/>
    <mergeCell ref="J36:K37"/>
    <mergeCell ref="M36:M37"/>
    <mergeCell ref="H40:I41"/>
    <mergeCell ref="M40:M41"/>
    <mergeCell ref="J40:K41"/>
    <mergeCell ref="L40:L41"/>
    <mergeCell ref="E32:F33"/>
    <mergeCell ref="L16:O17"/>
    <mergeCell ref="L32:O33"/>
    <mergeCell ref="I32:K33"/>
    <mergeCell ref="H35:I35"/>
    <mergeCell ref="I16:K17"/>
    <mergeCell ref="E20:E21"/>
    <mergeCell ref="M27:M28"/>
    <mergeCell ref="M23:M24"/>
    <mergeCell ref="L23:L24"/>
    <mergeCell ref="M25:M26"/>
    <mergeCell ref="L20:L22"/>
    <mergeCell ref="M20:M22"/>
    <mergeCell ref="H42:I42"/>
    <mergeCell ref="J42:K43"/>
    <mergeCell ref="M42:M43"/>
    <mergeCell ref="B42:C43"/>
    <mergeCell ref="D42:E43"/>
    <mergeCell ref="F42:F4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D8DF-CCA4-4ED5-96B4-02CB76528788}">
  <dimension ref="A1:C17"/>
  <sheetViews>
    <sheetView workbookViewId="0">
      <selection activeCell="J13" sqref="J13"/>
    </sheetView>
  </sheetViews>
  <sheetFormatPr defaultRowHeight="15"/>
  <cols>
    <col min="1" max="1" width="39.85546875" bestFit="1" customWidth="1"/>
    <col min="2" max="2" width="61.5703125" customWidth="1"/>
    <col min="3" max="3" width="17.42578125" customWidth="1"/>
  </cols>
  <sheetData>
    <row r="1" spans="1:3" ht="18.75">
      <c r="A1" s="67" t="s">
        <v>149</v>
      </c>
      <c r="B1" s="67"/>
      <c r="C1" s="67"/>
    </row>
    <row r="2" spans="1:3" ht="17.25" customHeight="1">
      <c r="A2" s="20" t="s">
        <v>150</v>
      </c>
      <c r="B2" t="s">
        <v>88</v>
      </c>
      <c r="C2" s="33" t="s">
        <v>27</v>
      </c>
    </row>
    <row r="3" spans="1:3" ht="17.25" customHeight="1">
      <c r="A3" t="s">
        <v>151</v>
      </c>
      <c r="B3" s="10" t="s">
        <v>152</v>
      </c>
      <c r="C3" s="33">
        <f>COUNTIF(DATA!B2:B11,"Dhaka")</f>
        <v>3</v>
      </c>
    </row>
    <row r="4" spans="1:3" ht="17.25" customHeight="1">
      <c r="A4" t="s">
        <v>89</v>
      </c>
      <c r="B4" s="10" t="s">
        <v>153</v>
      </c>
      <c r="C4" s="24">
        <f>SUMIF(DATA!B2:B11,"Dhaka",DATA!D2:D11)</f>
        <v>97000</v>
      </c>
    </row>
    <row r="5" spans="1:3" ht="17.25" customHeight="1">
      <c r="A5" t="s">
        <v>154</v>
      </c>
      <c r="B5" s="10" t="s">
        <v>155</v>
      </c>
      <c r="C5" s="33">
        <f>COUNTIFS(DATA!B2:B11,"Chattogram",DATA!E2:E11,"Yes")</f>
        <v>2</v>
      </c>
    </row>
    <row r="6" spans="1:3" ht="17.25" customHeight="1">
      <c r="A6" t="s">
        <v>156</v>
      </c>
      <c r="B6" s="10" t="s">
        <v>157</v>
      </c>
      <c r="C6" s="24">
        <f>SUMIFS(DATA!D2:D11,DATA!B2:B11,"Chattogram",DATA!E2:E11,"Yes")</f>
        <v>50000</v>
      </c>
    </row>
    <row r="7" spans="1:3" ht="17.25" customHeight="1">
      <c r="A7" t="s">
        <v>133</v>
      </c>
      <c r="B7" s="10" t="s">
        <v>158</v>
      </c>
      <c r="C7" s="24">
        <f>_xlfn.XLOOKUP(104,DATA!A2:A11,DATA!D2:D11)</f>
        <v>35000</v>
      </c>
    </row>
    <row r="8" spans="1:3" ht="17.25" customHeight="1">
      <c r="A8" t="s">
        <v>159</v>
      </c>
      <c r="B8" s="10" t="s">
        <v>160</v>
      </c>
      <c r="C8" s="33">
        <f>SUMIF(DATA!B2:B11,"Dhaka",DATA!C2:C11)</f>
        <v>255</v>
      </c>
    </row>
    <row r="9" spans="1:3" ht="17.25" customHeight="1"/>
    <row r="10" spans="1:3" ht="17.25" customHeight="1">
      <c r="B10" s="73" t="s">
        <v>55</v>
      </c>
      <c r="C10" s="74"/>
    </row>
    <row r="11" spans="1:3" ht="17.25" customHeight="1">
      <c r="A11" s="81"/>
      <c r="C11" s="11"/>
    </row>
    <row r="12" spans="1:3" ht="17.25" customHeight="1">
      <c r="A12" s="81"/>
    </row>
    <row r="13" spans="1:3" ht="17.25" customHeight="1">
      <c r="A13" s="4" t="s">
        <v>161</v>
      </c>
    </row>
    <row r="14" spans="1:3">
      <c r="A14" s="99" t="s">
        <v>162</v>
      </c>
      <c r="B14" s="99"/>
      <c r="C14" s="99"/>
    </row>
    <row r="15" spans="1:3">
      <c r="A15" s="99"/>
      <c r="B15" s="99"/>
      <c r="C15" s="99"/>
    </row>
    <row r="16" spans="1:3">
      <c r="A16" s="99"/>
      <c r="B16" s="99"/>
      <c r="C16" s="99"/>
    </row>
    <row r="17" spans="1:3">
      <c r="A17" s="99"/>
      <c r="B17" s="99"/>
      <c r="C17" s="99"/>
    </row>
  </sheetData>
  <mergeCells count="4">
    <mergeCell ref="A1:C1"/>
    <mergeCell ref="A11:A12"/>
    <mergeCell ref="B10:C10"/>
    <mergeCell ref="A14:C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AC98-0969-471E-AD4F-DB62FD7A5743}">
  <dimension ref="A1:G21"/>
  <sheetViews>
    <sheetView workbookViewId="0">
      <selection activeCell="I4" sqref="I4"/>
    </sheetView>
  </sheetViews>
  <sheetFormatPr defaultRowHeight="15"/>
  <cols>
    <col min="1" max="1" width="12.5703125" bestFit="1" customWidth="1"/>
    <col min="2" max="2" width="12.28515625" customWidth="1"/>
    <col min="3" max="3" width="10.140625" customWidth="1"/>
    <col min="4" max="4" width="17" bestFit="1" customWidth="1"/>
    <col min="5" max="5" width="17.5703125" bestFit="1" customWidth="1"/>
    <col min="6" max="6" width="10.7109375" customWidth="1"/>
    <col min="7" max="7" width="19.28515625" bestFit="1" customWidth="1"/>
  </cols>
  <sheetData>
    <row r="1" spans="1:7">
      <c r="A1" t="s">
        <v>163</v>
      </c>
      <c r="B1" t="s">
        <v>74</v>
      </c>
      <c r="C1" t="s">
        <v>164</v>
      </c>
      <c r="D1" s="31" t="s">
        <v>165</v>
      </c>
      <c r="E1" s="31" t="s">
        <v>166</v>
      </c>
      <c r="F1" t="s">
        <v>167</v>
      </c>
      <c r="G1" s="2" t="s">
        <v>168</v>
      </c>
    </row>
    <row r="2" spans="1:7">
      <c r="A2" t="s">
        <v>169</v>
      </c>
      <c r="B2" t="s">
        <v>79</v>
      </c>
      <c r="C2" t="s">
        <v>170</v>
      </c>
      <c r="D2" s="31">
        <v>800</v>
      </c>
      <c r="E2" s="31">
        <v>50</v>
      </c>
      <c r="F2" t="s">
        <v>171</v>
      </c>
      <c r="G2" s="2" t="s">
        <v>172</v>
      </c>
    </row>
    <row r="3" spans="1:7">
      <c r="A3" t="s">
        <v>173</v>
      </c>
      <c r="B3" t="s">
        <v>79</v>
      </c>
      <c r="C3" t="s">
        <v>174</v>
      </c>
      <c r="D3" s="31">
        <v>1000</v>
      </c>
      <c r="E3" s="31">
        <v>100</v>
      </c>
      <c r="F3" t="s">
        <v>171</v>
      </c>
      <c r="G3" s="2" t="s">
        <v>175</v>
      </c>
    </row>
    <row r="4" spans="1:7">
      <c r="A4" t="s">
        <v>176</v>
      </c>
      <c r="B4" t="s">
        <v>84</v>
      </c>
      <c r="C4" t="s">
        <v>177</v>
      </c>
      <c r="D4" s="31">
        <v>1500</v>
      </c>
      <c r="E4" s="31">
        <v>200</v>
      </c>
      <c r="F4" t="s">
        <v>171</v>
      </c>
      <c r="G4" s="2" t="s">
        <v>172</v>
      </c>
    </row>
    <row r="5" spans="1:7">
      <c r="A5" t="s">
        <v>178</v>
      </c>
      <c r="B5" t="s">
        <v>91</v>
      </c>
      <c r="C5" t="s">
        <v>170</v>
      </c>
      <c r="D5" s="31">
        <v>800</v>
      </c>
      <c r="E5" s="31">
        <v>50</v>
      </c>
      <c r="F5" t="s">
        <v>179</v>
      </c>
      <c r="G5" s="2" t="s">
        <v>180</v>
      </c>
    </row>
    <row r="6" spans="1:7">
      <c r="A6" t="s">
        <v>181</v>
      </c>
      <c r="B6" t="s">
        <v>79</v>
      </c>
      <c r="C6" t="s">
        <v>177</v>
      </c>
      <c r="D6" s="31">
        <v>1500</v>
      </c>
      <c r="E6" s="31">
        <v>200</v>
      </c>
      <c r="F6" t="s">
        <v>171</v>
      </c>
      <c r="G6" s="2" t="s">
        <v>175</v>
      </c>
    </row>
    <row r="7" spans="1:7">
      <c r="A7" t="s">
        <v>182</v>
      </c>
      <c r="B7" t="s">
        <v>85</v>
      </c>
      <c r="C7" t="s">
        <v>174</v>
      </c>
      <c r="D7" s="31">
        <v>1000</v>
      </c>
      <c r="E7" s="31">
        <v>100</v>
      </c>
      <c r="F7" t="s">
        <v>171</v>
      </c>
      <c r="G7" s="2" t="s">
        <v>180</v>
      </c>
    </row>
    <row r="8" spans="1:7">
      <c r="A8" t="s">
        <v>183</v>
      </c>
      <c r="B8" t="s">
        <v>84</v>
      </c>
      <c r="C8" t="s">
        <v>170</v>
      </c>
      <c r="D8" s="31">
        <v>800</v>
      </c>
      <c r="E8" s="31">
        <v>50</v>
      </c>
      <c r="F8" t="s">
        <v>171</v>
      </c>
      <c r="G8" s="2" t="s">
        <v>172</v>
      </c>
    </row>
    <row r="9" spans="1:7">
      <c r="A9" t="s">
        <v>184</v>
      </c>
      <c r="B9" t="s">
        <v>91</v>
      </c>
      <c r="C9" t="s">
        <v>174</v>
      </c>
      <c r="D9" s="31">
        <v>1000</v>
      </c>
      <c r="E9" s="31">
        <v>100</v>
      </c>
      <c r="F9" t="s">
        <v>179</v>
      </c>
      <c r="G9" s="2" t="s">
        <v>175</v>
      </c>
    </row>
    <row r="10" spans="1:7">
      <c r="A10" t="s">
        <v>185</v>
      </c>
      <c r="B10" t="s">
        <v>79</v>
      </c>
      <c r="C10" t="s">
        <v>170</v>
      </c>
      <c r="D10" s="31">
        <v>800</v>
      </c>
      <c r="E10" s="31">
        <v>50</v>
      </c>
      <c r="F10" t="s">
        <v>179</v>
      </c>
      <c r="G10" s="2" t="s">
        <v>180</v>
      </c>
    </row>
    <row r="11" spans="1:7">
      <c r="A11" t="s">
        <v>186</v>
      </c>
      <c r="B11" t="s">
        <v>85</v>
      </c>
      <c r="C11" t="s">
        <v>177</v>
      </c>
      <c r="D11" s="31">
        <v>1500</v>
      </c>
      <c r="E11" s="31">
        <v>200</v>
      </c>
      <c r="F11" t="s">
        <v>171</v>
      </c>
      <c r="G11" s="2" t="s">
        <v>172</v>
      </c>
    </row>
    <row r="12" spans="1:7">
      <c r="A12" t="s">
        <v>187</v>
      </c>
      <c r="B12" t="s">
        <v>84</v>
      </c>
      <c r="C12" t="s">
        <v>174</v>
      </c>
      <c r="D12" s="31">
        <v>1000</v>
      </c>
      <c r="E12" s="31">
        <v>100</v>
      </c>
      <c r="F12" t="s">
        <v>171</v>
      </c>
      <c r="G12" s="2" t="s">
        <v>175</v>
      </c>
    </row>
    <row r="13" spans="1:7">
      <c r="A13" t="s">
        <v>188</v>
      </c>
      <c r="B13" t="s">
        <v>79</v>
      </c>
      <c r="C13" t="s">
        <v>174</v>
      </c>
      <c r="D13" s="31">
        <v>1000</v>
      </c>
      <c r="E13" s="31">
        <v>100</v>
      </c>
      <c r="F13" t="s">
        <v>179</v>
      </c>
      <c r="G13" s="2" t="s">
        <v>172</v>
      </c>
    </row>
    <row r="14" spans="1:7">
      <c r="A14" t="s">
        <v>189</v>
      </c>
      <c r="B14" t="s">
        <v>91</v>
      </c>
      <c r="C14" t="s">
        <v>177</v>
      </c>
      <c r="D14" s="31">
        <v>1500</v>
      </c>
      <c r="E14" s="31">
        <v>200</v>
      </c>
      <c r="F14" t="s">
        <v>171</v>
      </c>
      <c r="G14" s="2" t="s">
        <v>180</v>
      </c>
    </row>
    <row r="15" spans="1:7">
      <c r="A15" t="s">
        <v>190</v>
      </c>
      <c r="B15" t="s">
        <v>85</v>
      </c>
      <c r="C15" t="s">
        <v>170</v>
      </c>
      <c r="D15" s="31">
        <v>800</v>
      </c>
      <c r="E15" s="31">
        <v>50</v>
      </c>
      <c r="F15" t="s">
        <v>171</v>
      </c>
      <c r="G15" s="2" t="s">
        <v>175</v>
      </c>
    </row>
    <row r="16" spans="1:7">
      <c r="A16" t="s">
        <v>191</v>
      </c>
      <c r="B16" t="s">
        <v>84</v>
      </c>
      <c r="C16" t="s">
        <v>177</v>
      </c>
      <c r="D16" s="31">
        <v>1500</v>
      </c>
      <c r="E16" s="31">
        <v>200</v>
      </c>
      <c r="F16" t="s">
        <v>179</v>
      </c>
      <c r="G16" s="2" t="s">
        <v>172</v>
      </c>
    </row>
    <row r="17" spans="1:7">
      <c r="A17" t="s">
        <v>192</v>
      </c>
      <c r="B17" t="s">
        <v>79</v>
      </c>
      <c r="C17" t="s">
        <v>170</v>
      </c>
      <c r="D17" s="31">
        <v>800</v>
      </c>
      <c r="E17" s="31">
        <v>50</v>
      </c>
      <c r="F17" t="s">
        <v>171</v>
      </c>
      <c r="G17" s="2" t="s">
        <v>172</v>
      </c>
    </row>
    <row r="18" spans="1:7">
      <c r="A18" t="s">
        <v>193</v>
      </c>
      <c r="B18" t="s">
        <v>91</v>
      </c>
      <c r="C18" t="s">
        <v>174</v>
      </c>
      <c r="D18" s="31">
        <v>1000</v>
      </c>
      <c r="E18" s="31">
        <v>100</v>
      </c>
      <c r="F18" t="s">
        <v>171</v>
      </c>
      <c r="G18" s="2" t="s">
        <v>175</v>
      </c>
    </row>
    <row r="19" spans="1:7">
      <c r="A19" t="s">
        <v>194</v>
      </c>
      <c r="B19" t="s">
        <v>85</v>
      </c>
      <c r="C19" t="s">
        <v>174</v>
      </c>
      <c r="D19" s="31">
        <v>1000</v>
      </c>
      <c r="E19" s="31">
        <v>100</v>
      </c>
      <c r="F19" t="s">
        <v>179</v>
      </c>
      <c r="G19" s="2" t="s">
        <v>180</v>
      </c>
    </row>
    <row r="20" spans="1:7">
      <c r="A20" t="s">
        <v>195</v>
      </c>
      <c r="B20" t="s">
        <v>84</v>
      </c>
      <c r="C20" t="s">
        <v>170</v>
      </c>
      <c r="D20" s="31">
        <v>800</v>
      </c>
      <c r="E20" s="31">
        <v>50</v>
      </c>
      <c r="F20" t="s">
        <v>171</v>
      </c>
      <c r="G20" s="2" t="s">
        <v>175</v>
      </c>
    </row>
    <row r="21" spans="1:7">
      <c r="A21" t="s">
        <v>196</v>
      </c>
      <c r="B21" t="s">
        <v>79</v>
      </c>
      <c r="C21" t="s">
        <v>177</v>
      </c>
      <c r="D21" s="31">
        <v>1500</v>
      </c>
      <c r="E21" s="31">
        <v>200</v>
      </c>
      <c r="F21" t="s">
        <v>171</v>
      </c>
      <c r="G21" s="2" t="s">
        <v>180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C19F-FAB8-45EE-9490-D03A7248BC73}">
  <dimension ref="A1:J56"/>
  <sheetViews>
    <sheetView tabSelected="1" topLeftCell="A10" workbookViewId="0">
      <selection activeCell="I54" sqref="I54"/>
    </sheetView>
  </sheetViews>
  <sheetFormatPr defaultRowHeight="15"/>
  <cols>
    <col min="1" max="1" width="21.140625" bestFit="1" customWidth="1"/>
    <col min="2" max="2" width="21.42578125" customWidth="1"/>
    <col min="3" max="3" width="16" customWidth="1"/>
    <col min="4" max="4" width="11.7109375" bestFit="1" customWidth="1"/>
  </cols>
  <sheetData>
    <row r="1" spans="1:10" ht="18.75">
      <c r="A1" s="67" t="s">
        <v>197</v>
      </c>
      <c r="B1" s="67"/>
      <c r="C1" s="67"/>
      <c r="D1" s="67"/>
      <c r="E1" s="67"/>
      <c r="F1" s="67"/>
      <c r="G1" s="67"/>
    </row>
    <row r="2" spans="1:10" ht="18.75">
      <c r="A2" s="54" t="s">
        <v>198</v>
      </c>
      <c r="B2" s="54"/>
      <c r="C2" s="54"/>
      <c r="D2" s="36"/>
      <c r="E2" s="36"/>
      <c r="F2" s="36"/>
      <c r="G2" s="36"/>
    </row>
    <row r="3" spans="1:10" ht="16.5" customHeight="1">
      <c r="A3" s="38" t="s">
        <v>199</v>
      </c>
      <c r="B3" s="38"/>
      <c r="C3" s="38"/>
      <c r="D3" s="38"/>
      <c r="E3" s="38"/>
      <c r="F3" s="38"/>
      <c r="G3" s="38"/>
      <c r="H3" s="38"/>
      <c r="I3" s="39"/>
      <c r="J3" s="37"/>
    </row>
    <row r="4" spans="1:10" ht="16.5" customHeight="1">
      <c r="A4" s="25" t="s">
        <v>200</v>
      </c>
    </row>
    <row r="6" spans="1:10">
      <c r="A6" s="26" t="s">
        <v>201</v>
      </c>
      <c r="B6" s="26" t="s">
        <v>167</v>
      </c>
    </row>
    <row r="7" spans="1:10">
      <c r="A7" s="26" t="s">
        <v>74</v>
      </c>
      <c r="B7" t="s">
        <v>171</v>
      </c>
      <c r="C7" t="s">
        <v>179</v>
      </c>
      <c r="D7" t="s">
        <v>202</v>
      </c>
    </row>
    <row r="8" spans="1:10">
      <c r="A8" t="s">
        <v>84</v>
      </c>
      <c r="B8" s="12">
        <v>4</v>
      </c>
      <c r="C8" s="12">
        <v>1</v>
      </c>
      <c r="D8" s="12">
        <v>5</v>
      </c>
    </row>
    <row r="9" spans="1:10">
      <c r="A9" t="s">
        <v>79</v>
      </c>
      <c r="B9" s="12">
        <v>5</v>
      </c>
      <c r="C9" s="12">
        <v>2</v>
      </c>
      <c r="D9" s="12">
        <v>7</v>
      </c>
    </row>
    <row r="10" spans="1:10">
      <c r="A10" t="s">
        <v>91</v>
      </c>
      <c r="B10" s="12">
        <v>2</v>
      </c>
      <c r="C10" s="12">
        <v>2</v>
      </c>
      <c r="D10" s="12">
        <v>4</v>
      </c>
    </row>
    <row r="11" spans="1:10">
      <c r="A11" t="s">
        <v>85</v>
      </c>
      <c r="B11" s="12">
        <v>3</v>
      </c>
      <c r="C11" s="12">
        <v>1</v>
      </c>
      <c r="D11" s="12">
        <v>4</v>
      </c>
    </row>
    <row r="12" spans="1:10">
      <c r="A12" t="s">
        <v>202</v>
      </c>
      <c r="B12" s="12">
        <v>14</v>
      </c>
      <c r="C12" s="12">
        <v>6</v>
      </c>
      <c r="D12" s="12">
        <v>20</v>
      </c>
    </row>
    <row r="14" spans="1:10" ht="15.75">
      <c r="A14" s="42" t="s">
        <v>203</v>
      </c>
      <c r="B14" s="43"/>
      <c r="C14" s="43"/>
      <c r="D14" s="44"/>
      <c r="E14" s="44"/>
      <c r="F14" s="44"/>
      <c r="G14" s="45"/>
    </row>
    <row r="15" spans="1:10" ht="15" customHeight="1">
      <c r="A15" s="51" t="s">
        <v>204</v>
      </c>
      <c r="B15" s="52"/>
      <c r="C15" s="52"/>
      <c r="D15" s="52"/>
      <c r="E15" s="52"/>
      <c r="F15" s="52"/>
      <c r="G15" s="53"/>
    </row>
    <row r="16" spans="1:10">
      <c r="A16" s="51"/>
      <c r="B16" s="52"/>
      <c r="C16" s="52"/>
      <c r="D16" s="52"/>
      <c r="E16" s="52"/>
      <c r="F16" s="52"/>
      <c r="G16" s="53"/>
    </row>
    <row r="17" spans="1:10">
      <c r="A17" s="46" t="s">
        <v>205</v>
      </c>
      <c r="B17" s="47"/>
      <c r="C17" s="47"/>
      <c r="D17" s="47"/>
      <c r="E17" s="47"/>
      <c r="F17" s="47"/>
      <c r="G17" s="48"/>
    </row>
    <row r="18" spans="1:10">
      <c r="A18" s="55" t="s">
        <v>206</v>
      </c>
      <c r="B18" s="56"/>
      <c r="C18" s="56"/>
      <c r="D18" s="56"/>
      <c r="E18" s="56"/>
      <c r="F18" s="56"/>
      <c r="G18" s="57"/>
      <c r="H18" s="37"/>
      <c r="I18" s="37"/>
    </row>
    <row r="19" spans="1:10">
      <c r="A19" s="58"/>
      <c r="B19" s="59"/>
      <c r="C19" s="59"/>
      <c r="D19" s="59"/>
      <c r="E19" s="59"/>
      <c r="F19" s="59"/>
      <c r="G19" s="60"/>
    </row>
    <row r="22" spans="1:10" ht="18.75">
      <c r="A22" s="54" t="s">
        <v>207</v>
      </c>
      <c r="B22" s="54"/>
      <c r="C22" s="54"/>
    </row>
    <row r="23" spans="1:10" ht="15.75">
      <c r="A23" s="40" t="s">
        <v>208</v>
      </c>
      <c r="B23" s="41"/>
      <c r="C23" s="41"/>
      <c r="D23" s="41"/>
      <c r="E23" s="41"/>
      <c r="F23" s="41"/>
      <c r="G23" s="21"/>
      <c r="H23" s="37"/>
      <c r="I23" s="37"/>
      <c r="J23" s="37"/>
    </row>
    <row r="24" spans="1:10" ht="15.75">
      <c r="A24" s="25" t="s">
        <v>209</v>
      </c>
      <c r="B24" s="25"/>
      <c r="C24" s="25"/>
      <c r="D24" s="25"/>
      <c r="E24" s="25"/>
      <c r="F24" s="25"/>
    </row>
    <row r="26" spans="1:10">
      <c r="A26" s="26" t="s">
        <v>164</v>
      </c>
      <c r="B26" t="s">
        <v>210</v>
      </c>
      <c r="C26" s="32" t="s">
        <v>201</v>
      </c>
    </row>
    <row r="27" spans="1:10">
      <c r="A27" t="s">
        <v>170</v>
      </c>
      <c r="B27" s="12">
        <v>5600</v>
      </c>
      <c r="C27" s="12">
        <v>7</v>
      </c>
    </row>
    <row r="28" spans="1:10">
      <c r="A28" t="s">
        <v>177</v>
      </c>
      <c r="B28" s="12">
        <v>9000</v>
      </c>
      <c r="C28" s="12">
        <v>6</v>
      </c>
    </row>
    <row r="29" spans="1:10">
      <c r="A29" t="s">
        <v>174</v>
      </c>
      <c r="B29" s="12">
        <v>7000</v>
      </c>
      <c r="C29" s="12">
        <v>7</v>
      </c>
    </row>
    <row r="30" spans="1:10">
      <c r="A30" t="s">
        <v>202</v>
      </c>
      <c r="B30" s="12">
        <v>21600</v>
      </c>
      <c r="C30" s="12">
        <v>20</v>
      </c>
    </row>
    <row r="31" spans="1:10" ht="15.75">
      <c r="A31" s="42" t="s">
        <v>203</v>
      </c>
      <c r="B31" s="43"/>
      <c r="C31" s="43"/>
      <c r="D31" s="44"/>
      <c r="E31" s="44"/>
      <c r="F31" s="44"/>
      <c r="G31" s="45"/>
    </row>
    <row r="32" spans="1:10">
      <c r="A32" s="51" t="s">
        <v>211</v>
      </c>
      <c r="B32" s="52"/>
      <c r="C32" s="52"/>
      <c r="D32" s="52"/>
      <c r="E32" s="52"/>
      <c r="F32" s="52"/>
      <c r="G32" s="53"/>
    </row>
    <row r="33" spans="1:7">
      <c r="A33" s="51"/>
      <c r="B33" s="52"/>
      <c r="C33" s="52"/>
      <c r="D33" s="52"/>
      <c r="E33" s="52"/>
      <c r="F33" s="52"/>
      <c r="G33" s="53"/>
    </row>
    <row r="34" spans="1:7">
      <c r="A34" s="51" t="s">
        <v>212</v>
      </c>
      <c r="B34" s="52"/>
      <c r="C34" s="52"/>
      <c r="D34" s="52"/>
      <c r="E34" s="52"/>
      <c r="F34" s="52"/>
      <c r="G34" s="53"/>
    </row>
    <row r="35" spans="1:7">
      <c r="A35" s="51"/>
      <c r="B35" s="52"/>
      <c r="C35" s="52"/>
      <c r="D35" s="52"/>
      <c r="E35" s="52"/>
      <c r="F35" s="52"/>
      <c r="G35" s="53"/>
    </row>
    <row r="36" spans="1:7">
      <c r="A36" s="55" t="s">
        <v>213</v>
      </c>
      <c r="B36" s="56"/>
      <c r="C36" s="56"/>
      <c r="D36" s="56"/>
      <c r="E36" s="56"/>
      <c r="F36" s="56"/>
      <c r="G36" s="57"/>
    </row>
    <row r="37" spans="1:7">
      <c r="A37" s="58"/>
      <c r="B37" s="59"/>
      <c r="C37" s="59"/>
      <c r="D37" s="59"/>
      <c r="E37" s="59"/>
      <c r="F37" s="59"/>
      <c r="G37" s="60"/>
    </row>
    <row r="38" spans="1:7">
      <c r="A38" s="50"/>
      <c r="B38" s="50"/>
      <c r="C38" s="50"/>
      <c r="D38" s="50"/>
      <c r="E38" s="50"/>
      <c r="F38" s="50"/>
      <c r="G38" s="50"/>
    </row>
    <row r="39" spans="1:7">
      <c r="A39" s="50"/>
      <c r="B39" s="50"/>
      <c r="C39" s="50"/>
      <c r="D39" s="50"/>
      <c r="E39" s="50"/>
      <c r="F39" s="50"/>
      <c r="G39" s="50"/>
    </row>
    <row r="40" spans="1:7" ht="18.75">
      <c r="A40" s="54" t="s">
        <v>214</v>
      </c>
      <c r="B40" s="54"/>
      <c r="C40" s="54"/>
    </row>
    <row r="41" spans="1:7" ht="15.75">
      <c r="A41" s="27" t="s">
        <v>215</v>
      </c>
      <c r="B41" s="41"/>
      <c r="C41" s="41"/>
      <c r="D41" s="41"/>
      <c r="E41" s="41"/>
      <c r="F41" s="21"/>
    </row>
    <row r="42" spans="1:7" ht="15.75">
      <c r="A42" s="25" t="s">
        <v>216</v>
      </c>
    </row>
    <row r="44" spans="1:7">
      <c r="A44" s="26" t="s">
        <v>168</v>
      </c>
      <c r="B44" t="s">
        <v>217</v>
      </c>
      <c r="C44" t="s">
        <v>201</v>
      </c>
    </row>
    <row r="45" spans="1:7">
      <c r="A45" t="s">
        <v>175</v>
      </c>
      <c r="B45" s="12">
        <v>1014.2857142857143</v>
      </c>
      <c r="C45" s="12">
        <v>7</v>
      </c>
    </row>
    <row r="46" spans="1:7">
      <c r="A46" t="s">
        <v>172</v>
      </c>
      <c r="B46" s="12">
        <v>1128.5714285714287</v>
      </c>
      <c r="C46" s="12">
        <v>7</v>
      </c>
    </row>
    <row r="47" spans="1:7">
      <c r="A47" t="s">
        <v>180</v>
      </c>
      <c r="B47" s="12">
        <v>1100</v>
      </c>
      <c r="C47" s="12">
        <v>6</v>
      </c>
    </row>
    <row r="48" spans="1:7">
      <c r="A48" t="s">
        <v>202</v>
      </c>
      <c r="B48" s="12">
        <v>1080</v>
      </c>
      <c r="C48" s="12">
        <v>20</v>
      </c>
    </row>
    <row r="50" spans="1:8" ht="15.75">
      <c r="A50" s="42" t="s">
        <v>203</v>
      </c>
      <c r="B50" s="44"/>
      <c r="C50" s="44"/>
      <c r="D50" s="44"/>
      <c r="E50" s="44"/>
      <c r="F50" s="44"/>
      <c r="G50" s="45"/>
    </row>
    <row r="51" spans="1:8">
      <c r="A51" s="61" t="s">
        <v>218</v>
      </c>
      <c r="B51" s="62"/>
      <c r="C51" s="62"/>
      <c r="D51" s="62"/>
      <c r="E51" s="62"/>
      <c r="F51" s="62"/>
      <c r="G51" s="63"/>
      <c r="H51" s="49"/>
    </row>
    <row r="52" spans="1:8">
      <c r="A52" s="61"/>
      <c r="B52" s="62"/>
      <c r="C52" s="62"/>
      <c r="D52" s="62"/>
      <c r="E52" s="62"/>
      <c r="F52" s="62"/>
      <c r="G52" s="63"/>
      <c r="H52" s="49"/>
    </row>
    <row r="53" spans="1:8">
      <c r="A53" s="64" t="s">
        <v>219</v>
      </c>
      <c r="B53" s="65"/>
      <c r="C53" s="65"/>
      <c r="D53" s="65"/>
      <c r="E53" s="65"/>
      <c r="F53" s="65"/>
      <c r="G53" s="66"/>
    </row>
    <row r="54" spans="1:8">
      <c r="A54" s="64"/>
      <c r="B54" s="65"/>
      <c r="C54" s="65"/>
      <c r="D54" s="65"/>
      <c r="E54" s="65"/>
      <c r="F54" s="65"/>
      <c r="G54" s="66"/>
    </row>
    <row r="55" spans="1:8">
      <c r="A55" s="55" t="s">
        <v>220</v>
      </c>
      <c r="B55" s="56"/>
      <c r="C55" s="56"/>
      <c r="D55" s="56"/>
      <c r="E55" s="56"/>
      <c r="F55" s="56"/>
      <c r="G55" s="57"/>
    </row>
    <row r="56" spans="1:8">
      <c r="A56" s="58"/>
      <c r="B56" s="59"/>
      <c r="C56" s="59"/>
      <c r="D56" s="59"/>
      <c r="E56" s="59"/>
      <c r="F56" s="59"/>
      <c r="G56" s="60"/>
    </row>
  </sheetData>
  <mergeCells count="12">
    <mergeCell ref="A1:G1"/>
    <mergeCell ref="A2:C2"/>
    <mergeCell ref="A22:C22"/>
    <mergeCell ref="A18:G19"/>
    <mergeCell ref="A15:G16"/>
    <mergeCell ref="A32:G33"/>
    <mergeCell ref="A34:G35"/>
    <mergeCell ref="A40:C40"/>
    <mergeCell ref="A36:G37"/>
    <mergeCell ref="A55:G56"/>
    <mergeCell ref="A51:G52"/>
    <mergeCell ref="A53:G54"/>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Shakil Ndc</cp:lastModifiedBy>
  <cp:revision/>
  <dcterms:created xsi:type="dcterms:W3CDTF">2026-10-10T20:23:05Z</dcterms:created>
  <dcterms:modified xsi:type="dcterms:W3CDTF">2026-10-19T13:57:34Z</dcterms:modified>
  <cp:category/>
  <cp:contentStatus/>
</cp:coreProperties>
</file>